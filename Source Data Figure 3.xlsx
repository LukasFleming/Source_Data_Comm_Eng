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geesthacht\home\Fleming\Lukas Digi-HyPro\04  Themen &amp; Aufgaben\03  H2 Loop Compressor\01  Arbeitsstände\2024-11-14  Paper Springer Nature\01  Paper Review\06  To Julián for submission 15-01-2026\"/>
    </mc:Choice>
  </mc:AlternateContent>
  <xr:revisionPtr revIDLastSave="0" documentId="13_ncr:1_{E82C9197-E584-4FFA-BD81-4727ECC20AD9}" xr6:coauthVersionLast="47" xr6:coauthVersionMax="47" xr10:uidLastSave="{00000000-0000-0000-0000-000000000000}"/>
  <bookViews>
    <workbookView xWindow="9672" yWindow="-22644" windowWidth="28800" windowHeight="15360" activeTab="1" xr2:uid="{76225473-92E6-4431-9FDF-F4CC66EBD3F8}"/>
  </bookViews>
  <sheets>
    <sheet name="Fig.3 A LP-setup" sheetId="1" r:id="rId1"/>
    <sheet name="Fig.3 B HP-set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2" l="1"/>
  <c r="I32" i="2" s="1"/>
  <c r="H18" i="2"/>
  <c r="I20" i="2" s="1"/>
  <c r="H6" i="2"/>
  <c r="H8" i="2" s="1"/>
  <c r="H30" i="1"/>
  <c r="H32" i="1" s="1"/>
  <c r="I29" i="1"/>
  <c r="H29" i="1"/>
  <c r="I17" i="1"/>
  <c r="H6" i="1"/>
  <c r="I8" i="1" s="1"/>
  <c r="H32" i="2" l="1"/>
  <c r="H34" i="2" s="1"/>
  <c r="H20" i="2"/>
  <c r="H22" i="2" s="1"/>
  <c r="I8" i="2"/>
  <c r="H10" i="2" s="1"/>
  <c r="I32" i="1"/>
  <c r="H34" i="1" s="1"/>
  <c r="H18" i="1"/>
  <c r="H20" i="1" s="1"/>
  <c r="H8" i="1"/>
  <c r="H10" i="1" s="1"/>
  <c r="I20" i="1" l="1"/>
  <c r="H22" i="1" s="1"/>
</calcChain>
</file>

<file path=xl/sharedStrings.xml><?xml version="1.0" encoding="utf-8"?>
<sst xmlns="http://schemas.openxmlformats.org/spreadsheetml/2006/main" count="68" uniqueCount="18">
  <si>
    <t>Hydrogen Saturation (wt%)</t>
  </si>
  <si>
    <t>Absorption equilibrium pressure at 10°C (bar)</t>
  </si>
  <si>
    <t>Desorption equilibrium pressure at 90°C (bar)</t>
  </si>
  <si>
    <t>press</t>
  </si>
  <si>
    <t>temp</t>
  </si>
  <si>
    <t>frac</t>
  </si>
  <si>
    <t>conc</t>
  </si>
  <si>
    <t>span</t>
  </si>
  <si>
    <t>offset</t>
  </si>
  <si>
    <t>conc*</t>
  </si>
  <si>
    <t>frac*</t>
  </si>
  <si>
    <t>Operating window a)</t>
  </si>
  <si>
    <t>Operating window b)</t>
  </si>
  <si>
    <t>span*</t>
  </si>
  <si>
    <t>Operating window c)</t>
  </si>
  <si>
    <t>Operating window d)</t>
  </si>
  <si>
    <t>Operating window e)</t>
  </si>
  <si>
    <t>Operating window 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</si>
</sst>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&quot; bar&quot;"/>
    <numFmt numFmtId="165" formatCode="General&quot; °C&quot;"/>
    <numFmt numFmtId="166" formatCode="0.00&quot; wt%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/>
    <xf numFmtId="9" fontId="0" fillId="0" borderId="0" xfId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166" fontId="2" fillId="0" borderId="0" xfId="0" applyNumberFormat="1" applyFont="1"/>
    <xf numFmtId="166" fontId="0" fillId="0" borderId="0" xfId="0" applyNumberFormat="1"/>
    <xf numFmtId="166" fontId="0" fillId="0" borderId="0" xfId="0" applyNumberFormat="1" applyAlignment="1">
      <alignment horizontal="center"/>
    </xf>
    <xf numFmtId="2" fontId="0" fillId="0" borderId="0" xfId="0" applyNumberFormat="1"/>
    <xf numFmtId="166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9" fontId="0" fillId="0" borderId="0" xfId="1" applyFont="1" applyFill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FC51-E36B-41E1-8CED-5369664EBD68}">
  <dimension ref="A1:I83"/>
  <sheetViews>
    <sheetView zoomScale="70" zoomScaleNormal="70" workbookViewId="0"/>
  </sheetViews>
  <sheetFormatPr baseColWidth="10" defaultRowHeight="14.4" x14ac:dyDescent="0.3"/>
  <cols>
    <col min="1" max="1" width="24.6640625" style="1" customWidth="1"/>
    <col min="2" max="2" width="37.33203125" style="1" bestFit="1" customWidth="1"/>
    <col min="3" max="3" width="9.44140625" style="1" customWidth="1"/>
    <col min="4" max="4" width="23.6640625" style="1" customWidth="1"/>
    <col min="5" max="5" width="44" style="1" customWidth="1"/>
    <col min="6" max="7" width="11.5546875" style="1"/>
    <col min="8" max="9" width="12.77734375" style="1" customWidth="1"/>
    <col min="10" max="16384" width="11.5546875" style="1"/>
  </cols>
  <sheetData>
    <row r="1" spans="1:9" x14ac:dyDescent="0.3">
      <c r="A1" s="1" t="s">
        <v>0</v>
      </c>
      <c r="B1" s="1" t="s">
        <v>1</v>
      </c>
      <c r="D1" s="1" t="s">
        <v>0</v>
      </c>
      <c r="E1" s="1" t="s">
        <v>2</v>
      </c>
      <c r="G1" s="12" t="s">
        <v>11</v>
      </c>
      <c r="H1" s="12"/>
      <c r="I1" s="12"/>
    </row>
    <row r="2" spans="1:9" x14ac:dyDescent="0.3">
      <c r="A2" s="1">
        <v>0</v>
      </c>
      <c r="B2" s="1">
        <v>0.34260000000000002</v>
      </c>
      <c r="D2" s="1">
        <v>1.2430399999999999</v>
      </c>
      <c r="E2" s="1">
        <v>88.051069999999996</v>
      </c>
      <c r="G2" s="5" t="s">
        <v>3</v>
      </c>
      <c r="H2" s="6">
        <v>40</v>
      </c>
      <c r="I2" s="6">
        <v>20</v>
      </c>
    </row>
    <row r="3" spans="1:9" x14ac:dyDescent="0.3">
      <c r="A3" s="1">
        <v>2.0729999999999998E-2</v>
      </c>
      <c r="B3" s="1">
        <v>0.3952</v>
      </c>
      <c r="D3" s="1">
        <v>1.23001</v>
      </c>
      <c r="E3" s="1">
        <v>85.590069999999997</v>
      </c>
      <c r="G3" s="2" t="s">
        <v>4</v>
      </c>
      <c r="H3" s="3">
        <v>90</v>
      </c>
      <c r="I3" s="3">
        <v>10</v>
      </c>
    </row>
    <row r="4" spans="1:9" x14ac:dyDescent="0.3">
      <c r="A4" s="1">
        <v>4.1450000000000001E-2</v>
      </c>
      <c r="B4" s="1">
        <v>0.53859999999999997</v>
      </c>
      <c r="D4" s="1">
        <v>1.2003999999999999</v>
      </c>
      <c r="E4" s="1">
        <v>83.228160000000003</v>
      </c>
      <c r="G4" s="2" t="s">
        <v>5</v>
      </c>
      <c r="H4" s="10">
        <v>1.93</v>
      </c>
      <c r="I4" s="10">
        <v>0.93600000000000005</v>
      </c>
    </row>
    <row r="5" spans="1:9" x14ac:dyDescent="0.3">
      <c r="A5" s="1">
        <v>6.2179999999999999E-2</v>
      </c>
      <c r="B5" s="1">
        <v>0.8266</v>
      </c>
      <c r="D5" s="1">
        <v>1.1584700000000001</v>
      </c>
      <c r="E5" s="1">
        <v>80.915809999999993</v>
      </c>
      <c r="G5" s="2" t="s">
        <v>6</v>
      </c>
      <c r="H5" s="8">
        <v>0.33450000000000002</v>
      </c>
      <c r="I5" s="8">
        <v>1.619</v>
      </c>
    </row>
    <row r="6" spans="1:9" x14ac:dyDescent="0.3">
      <c r="A6" s="1">
        <v>8.2900000000000001E-2</v>
      </c>
      <c r="B6" s="1">
        <v>1.228</v>
      </c>
      <c r="D6" s="1">
        <v>1.10504</v>
      </c>
      <c r="E6" s="1">
        <v>78.702560000000005</v>
      </c>
      <c r="G6" s="2" t="s">
        <v>7</v>
      </c>
      <c r="H6" s="11">
        <f>I5-H5</f>
        <v>1.2845</v>
      </c>
      <c r="I6" s="11"/>
    </row>
    <row r="7" spans="1:9" x14ac:dyDescent="0.3">
      <c r="A7" s="1">
        <v>0.1036</v>
      </c>
      <c r="B7" s="1">
        <v>1.6890000000000001</v>
      </c>
      <c r="D7" s="1">
        <v>1.04064</v>
      </c>
      <c r="E7" s="1">
        <v>76.527850000000001</v>
      </c>
      <c r="G7" s="2" t="s">
        <v>8</v>
      </c>
      <c r="H7" s="13">
        <v>0.05</v>
      </c>
      <c r="I7" s="13"/>
    </row>
    <row r="8" spans="1:9" x14ac:dyDescent="0.3">
      <c r="A8" s="1">
        <v>0.1244</v>
      </c>
      <c r="B8" s="1">
        <v>2.2799999999999998</v>
      </c>
      <c r="D8" s="1">
        <v>0.96125000000000005</v>
      </c>
      <c r="E8" s="1">
        <v>74.463250000000002</v>
      </c>
      <c r="G8" s="5" t="s">
        <v>9</v>
      </c>
      <c r="H8" s="7">
        <f>H5+H7*H6</f>
        <v>0.398725</v>
      </c>
      <c r="I8" s="7">
        <f>I5-H7*H6</f>
        <v>1.554775</v>
      </c>
    </row>
    <row r="9" spans="1:9" x14ac:dyDescent="0.3">
      <c r="A9" s="1">
        <v>0.14510000000000001</v>
      </c>
      <c r="B9" s="1">
        <v>2.9329999999999998</v>
      </c>
      <c r="D9" s="1">
        <v>0.87519000000000002</v>
      </c>
      <c r="E9" s="1">
        <v>72.387630000000001</v>
      </c>
      <c r="G9" s="2" t="s">
        <v>10</v>
      </c>
      <c r="H9" s="10">
        <v>0.22450000000000001</v>
      </c>
      <c r="I9" s="10">
        <v>0.89829999999999999</v>
      </c>
    </row>
    <row r="10" spans="1:9" x14ac:dyDescent="0.3">
      <c r="A10" s="1">
        <v>0.1658</v>
      </c>
      <c r="B10" s="1">
        <v>3.6360000000000001</v>
      </c>
      <c r="D10" s="1">
        <v>0.79293999999999998</v>
      </c>
      <c r="E10" s="1">
        <v>70.284490000000005</v>
      </c>
      <c r="G10" s="2" t="s">
        <v>13</v>
      </c>
      <c r="H10" s="11">
        <f>I8-H8</f>
        <v>1.15605</v>
      </c>
      <c r="I10" s="11"/>
    </row>
    <row r="11" spans="1:9" x14ac:dyDescent="0.3">
      <c r="A11" s="1">
        <v>0.1865</v>
      </c>
      <c r="B11" s="1">
        <v>4.3609999999999998</v>
      </c>
      <c r="D11" s="1">
        <v>0.72148999999999996</v>
      </c>
      <c r="E11" s="1">
        <v>68.131810000000002</v>
      </c>
    </row>
    <row r="12" spans="1:9" x14ac:dyDescent="0.3">
      <c r="A12" s="1">
        <v>0.20730000000000001</v>
      </c>
      <c r="B12" s="1">
        <v>5.0510000000000002</v>
      </c>
      <c r="D12" s="1">
        <v>0.65576999999999996</v>
      </c>
      <c r="E12" s="1">
        <v>65.962599999999995</v>
      </c>
    </row>
    <row r="13" spans="1:9" x14ac:dyDescent="0.3">
      <c r="A13" s="1">
        <v>0.22800000000000001</v>
      </c>
      <c r="B13" s="1">
        <v>5.6639999999999997</v>
      </c>
      <c r="D13" s="1">
        <v>0.59541999999999995</v>
      </c>
      <c r="E13" s="1">
        <v>63.782380000000003</v>
      </c>
      <c r="G13" s="12" t="s">
        <v>12</v>
      </c>
      <c r="H13" s="12"/>
      <c r="I13" s="12"/>
    </row>
    <row r="14" spans="1:9" x14ac:dyDescent="0.3">
      <c r="A14" s="1">
        <v>0.2487</v>
      </c>
      <c r="B14" s="1">
        <v>6.1980000000000004</v>
      </c>
      <c r="D14" s="1">
        <v>0.54340999999999995</v>
      </c>
      <c r="E14" s="1">
        <v>61.525089999999999</v>
      </c>
      <c r="G14" s="5" t="s">
        <v>3</v>
      </c>
      <c r="H14" s="6">
        <v>60</v>
      </c>
      <c r="I14" s="6">
        <v>30</v>
      </c>
    </row>
    <row r="15" spans="1:9" x14ac:dyDescent="0.3">
      <c r="A15" s="1">
        <v>0.26939999999999997</v>
      </c>
      <c r="B15" s="1">
        <v>6.6689999999999996</v>
      </c>
      <c r="D15" s="1">
        <v>0.49819999999999998</v>
      </c>
      <c r="E15" s="1">
        <v>59.229259999999996</v>
      </c>
      <c r="G15" s="2" t="s">
        <v>4</v>
      </c>
      <c r="H15" s="3">
        <v>90</v>
      </c>
      <c r="I15" s="3">
        <v>10</v>
      </c>
    </row>
    <row r="16" spans="1:9" x14ac:dyDescent="0.3">
      <c r="A16" s="1">
        <v>0.29020000000000001</v>
      </c>
      <c r="B16" s="1">
        <v>6.8339999999999996</v>
      </c>
      <c r="D16" s="1">
        <v>0.46688000000000002</v>
      </c>
      <c r="E16" s="1">
        <v>56.872839999999997</v>
      </c>
      <c r="G16" s="2" t="s">
        <v>5</v>
      </c>
      <c r="H16" s="10">
        <v>0.29210000000000003</v>
      </c>
      <c r="I16" s="10">
        <v>0.95609999999999995</v>
      </c>
    </row>
    <row r="17" spans="1:9" x14ac:dyDescent="0.3">
      <c r="A17" s="1">
        <v>0.31090000000000001</v>
      </c>
      <c r="B17" s="1">
        <v>6.9980000000000002</v>
      </c>
      <c r="D17" s="1">
        <v>0.43968000000000002</v>
      </c>
      <c r="E17" s="1">
        <v>54.50544</v>
      </c>
      <c r="G17" s="2" t="s">
        <v>6</v>
      </c>
      <c r="H17" s="8">
        <v>0.50539999999999996</v>
      </c>
      <c r="I17" s="8">
        <f>1654/1000</f>
        <v>1.6539999999999999</v>
      </c>
    </row>
    <row r="18" spans="1:9" x14ac:dyDescent="0.3">
      <c r="A18" s="1">
        <v>0.33160000000000001</v>
      </c>
      <c r="B18" s="1">
        <v>7.1619999999999999</v>
      </c>
      <c r="D18" s="1">
        <v>0.41871000000000003</v>
      </c>
      <c r="E18" s="1">
        <v>52.099499999999999</v>
      </c>
      <c r="G18" s="2" t="s">
        <v>7</v>
      </c>
      <c r="H18" s="11">
        <f>I17-H17</f>
        <v>1.1486000000000001</v>
      </c>
      <c r="I18" s="11"/>
    </row>
    <row r="19" spans="1:9" x14ac:dyDescent="0.3">
      <c r="A19" s="1">
        <v>0.3523</v>
      </c>
      <c r="B19" s="1">
        <v>7.7389999999999999</v>
      </c>
      <c r="D19" s="1">
        <v>0.39928000000000002</v>
      </c>
      <c r="E19" s="1">
        <v>49.69905</v>
      </c>
      <c r="G19" s="2" t="s">
        <v>8</v>
      </c>
      <c r="H19" s="13">
        <v>0.05</v>
      </c>
      <c r="I19" s="13"/>
    </row>
    <row r="20" spans="1:9" x14ac:dyDescent="0.3">
      <c r="A20" s="1">
        <v>0.37309999999999999</v>
      </c>
      <c r="B20" s="1">
        <v>7.9219999999999997</v>
      </c>
      <c r="D20" s="1">
        <v>0.38189000000000001</v>
      </c>
      <c r="E20" s="1">
        <v>47.271090000000001</v>
      </c>
      <c r="G20" s="5" t="s">
        <v>9</v>
      </c>
      <c r="H20" s="7">
        <f>H17+H19*H18</f>
        <v>0.56282999999999994</v>
      </c>
      <c r="I20" s="7">
        <f>I17-H19*H18</f>
        <v>1.5965699999999998</v>
      </c>
    </row>
    <row r="21" spans="1:9" x14ac:dyDescent="0.3">
      <c r="A21" s="1">
        <v>0.39379999999999998</v>
      </c>
      <c r="B21" s="1">
        <v>8.07</v>
      </c>
      <c r="D21" s="1">
        <v>0.36714999999999998</v>
      </c>
      <c r="E21" s="1">
        <v>44.843110000000003</v>
      </c>
      <c r="G21" s="2" t="s">
        <v>10</v>
      </c>
      <c r="H21" s="10">
        <v>0.32419999999999999</v>
      </c>
      <c r="I21" s="10">
        <v>0.90349999999999997</v>
      </c>
    </row>
    <row r="22" spans="1:9" x14ac:dyDescent="0.3">
      <c r="A22" s="1">
        <v>0.41449999999999998</v>
      </c>
      <c r="B22" s="1">
        <v>8.2129999999999992</v>
      </c>
      <c r="D22" s="1">
        <v>0.35396</v>
      </c>
      <c r="E22" s="1">
        <v>42.420659999999998</v>
      </c>
      <c r="G22" s="2" t="s">
        <v>13</v>
      </c>
      <c r="H22" s="11">
        <f>I20-H20</f>
        <v>1.0337399999999999</v>
      </c>
      <c r="I22" s="11"/>
    </row>
    <row r="23" spans="1:9" x14ac:dyDescent="0.3">
      <c r="A23" s="1">
        <v>0.43519999999999998</v>
      </c>
      <c r="B23" s="1">
        <v>8.3510000000000009</v>
      </c>
      <c r="D23" s="1">
        <v>0.34112999999999999</v>
      </c>
      <c r="E23" s="1">
        <v>39.99268</v>
      </c>
    </row>
    <row r="24" spans="1:9" x14ac:dyDescent="0.3">
      <c r="A24" s="1">
        <v>0.45600000000000002</v>
      </c>
      <c r="B24" s="1">
        <v>8.48</v>
      </c>
      <c r="D24" s="1">
        <v>0.32435999999999998</v>
      </c>
      <c r="E24" s="1">
        <v>37.570210000000003</v>
      </c>
    </row>
    <row r="25" spans="1:9" x14ac:dyDescent="0.3">
      <c r="A25" s="1">
        <v>0.47670000000000001</v>
      </c>
      <c r="B25" s="1">
        <v>8.6059999999999999</v>
      </c>
      <c r="D25" s="1">
        <v>0.31165999999999999</v>
      </c>
      <c r="E25" s="1">
        <v>35.147750000000002</v>
      </c>
      <c r="G25" s="12" t="s">
        <v>14</v>
      </c>
      <c r="H25" s="12"/>
      <c r="I25" s="12"/>
    </row>
    <row r="26" spans="1:9" x14ac:dyDescent="0.3">
      <c r="A26" s="1">
        <v>0.49740000000000001</v>
      </c>
      <c r="B26" s="1">
        <v>8.7279999999999998</v>
      </c>
      <c r="D26" s="1">
        <v>0.29672999999999999</v>
      </c>
      <c r="E26" s="1">
        <v>32.708770000000001</v>
      </c>
      <c r="G26" s="5" t="s">
        <v>3</v>
      </c>
      <c r="H26" s="6">
        <v>79</v>
      </c>
      <c r="I26" s="6">
        <v>23</v>
      </c>
    </row>
    <row r="27" spans="1:9" x14ac:dyDescent="0.3">
      <c r="A27" s="1">
        <v>0.51819999999999999</v>
      </c>
      <c r="B27" s="1">
        <v>8.8390000000000004</v>
      </c>
      <c r="D27" s="1">
        <v>0.28604000000000002</v>
      </c>
      <c r="E27" s="1">
        <v>30.258790000000001</v>
      </c>
      <c r="G27" s="2" t="s">
        <v>4</v>
      </c>
      <c r="H27" s="3">
        <v>90</v>
      </c>
      <c r="I27" s="3">
        <v>10</v>
      </c>
    </row>
    <row r="28" spans="1:9" x14ac:dyDescent="0.3">
      <c r="A28" s="1">
        <v>0.53890000000000005</v>
      </c>
      <c r="B28" s="1">
        <v>8.9480000000000004</v>
      </c>
      <c r="D28" s="1">
        <v>0.27087</v>
      </c>
      <c r="E28" s="1">
        <v>27.847329999999999</v>
      </c>
      <c r="G28" s="2" t="s">
        <v>5</v>
      </c>
      <c r="H28" s="10">
        <v>0.89429999999999998</v>
      </c>
      <c r="I28" s="10">
        <v>0.97599999999999998</v>
      </c>
    </row>
    <row r="29" spans="1:9" x14ac:dyDescent="0.3">
      <c r="A29" s="1">
        <v>0.55959999999999999</v>
      </c>
      <c r="B29" s="1">
        <v>9.0579999999999998</v>
      </c>
      <c r="D29" s="1">
        <v>0.25902999999999998</v>
      </c>
      <c r="E29" s="1">
        <v>25.419360000000001</v>
      </c>
      <c r="G29" s="2" t="s">
        <v>6</v>
      </c>
      <c r="H29" s="8">
        <f>1094/1000</f>
        <v>1.0940000000000001</v>
      </c>
      <c r="I29" s="8">
        <f>1636/1000</f>
        <v>1.6359999999999999</v>
      </c>
    </row>
    <row r="30" spans="1:9" x14ac:dyDescent="0.3">
      <c r="A30" s="1">
        <v>0.58030000000000004</v>
      </c>
      <c r="B30" s="1">
        <v>9.1579999999999995</v>
      </c>
      <c r="D30" s="1">
        <v>0.24395</v>
      </c>
      <c r="E30" s="1">
        <v>22.969360000000002</v>
      </c>
      <c r="G30" s="2" t="s">
        <v>7</v>
      </c>
      <c r="H30" s="9">
        <f>I29-H29</f>
        <v>0.54199999999999982</v>
      </c>
      <c r="I30" s="9"/>
    </row>
    <row r="31" spans="1:9" x14ac:dyDescent="0.3">
      <c r="A31" s="1">
        <v>0.60109999999999997</v>
      </c>
      <c r="B31" s="1">
        <v>9.2509999999999994</v>
      </c>
      <c r="D31" s="1">
        <v>0.22917000000000001</v>
      </c>
      <c r="E31" s="1">
        <v>20.541399999999999</v>
      </c>
      <c r="G31" s="2" t="s">
        <v>8</v>
      </c>
      <c r="H31" s="4">
        <v>0.05</v>
      </c>
      <c r="I31" s="4"/>
    </row>
    <row r="32" spans="1:9" x14ac:dyDescent="0.3">
      <c r="A32" s="1">
        <v>0.62180000000000002</v>
      </c>
      <c r="B32" s="1">
        <v>9.3529999999999998</v>
      </c>
      <c r="D32" s="1">
        <v>0.21317</v>
      </c>
      <c r="E32" s="1">
        <v>18.118929999999999</v>
      </c>
      <c r="G32" s="5" t="s">
        <v>9</v>
      </c>
      <c r="H32" s="7">
        <f>H29+H31*H30</f>
        <v>1.1211</v>
      </c>
      <c r="I32" s="7">
        <f>I29-H31*H30</f>
        <v>1.6089</v>
      </c>
    </row>
    <row r="33" spans="1:9" x14ac:dyDescent="0.3">
      <c r="A33" s="1">
        <v>0.64249999999999996</v>
      </c>
      <c r="B33" s="1">
        <v>9.4489999999999998</v>
      </c>
      <c r="D33" s="1">
        <v>0.19832</v>
      </c>
      <c r="E33" s="1">
        <v>16.05433</v>
      </c>
      <c r="G33" s="2" t="s">
        <v>10</v>
      </c>
      <c r="H33" s="10">
        <v>0.66200000000000003</v>
      </c>
      <c r="I33" s="10">
        <v>0.92100000000000004</v>
      </c>
    </row>
    <row r="34" spans="1:9" x14ac:dyDescent="0.3">
      <c r="A34" s="1">
        <v>0.66320000000000001</v>
      </c>
      <c r="B34" s="1">
        <v>9.5329999999999995</v>
      </c>
      <c r="D34" s="1">
        <v>0.18067</v>
      </c>
      <c r="E34" s="1">
        <v>13.384119999999999</v>
      </c>
      <c r="G34" s="2" t="s">
        <v>13</v>
      </c>
      <c r="H34" s="11">
        <f>I32-H32</f>
        <v>0.48780000000000001</v>
      </c>
      <c r="I34" s="11"/>
    </row>
    <row r="35" spans="1:9" x14ac:dyDescent="0.3">
      <c r="A35" s="1">
        <v>0.68400000000000005</v>
      </c>
      <c r="B35" s="1">
        <v>9.625</v>
      </c>
      <c r="D35" s="1">
        <v>0.16485</v>
      </c>
      <c r="E35" s="1">
        <v>11.14334</v>
      </c>
    </row>
    <row r="36" spans="1:9" x14ac:dyDescent="0.3">
      <c r="A36" s="1">
        <v>0.70469999999999999</v>
      </c>
      <c r="B36" s="1">
        <v>9.7200000000000006</v>
      </c>
      <c r="D36" s="1">
        <v>0.14526</v>
      </c>
      <c r="E36" s="1">
        <v>8.6107600000000009</v>
      </c>
    </row>
    <row r="37" spans="1:9" x14ac:dyDescent="0.3">
      <c r="A37" s="1">
        <v>0.72540000000000004</v>
      </c>
      <c r="B37" s="1">
        <v>9.8030000000000008</v>
      </c>
      <c r="D37" s="1">
        <v>0.12731000000000001</v>
      </c>
      <c r="E37" s="1">
        <v>6.2433500000000004</v>
      </c>
    </row>
    <row r="38" spans="1:9" x14ac:dyDescent="0.3">
      <c r="A38" s="1">
        <v>0.74609999999999999</v>
      </c>
      <c r="B38" s="1">
        <v>9.8840000000000003</v>
      </c>
      <c r="D38" s="1">
        <v>9.9110000000000004E-2</v>
      </c>
      <c r="E38" s="1">
        <v>3.931</v>
      </c>
    </row>
    <row r="39" spans="1:9" x14ac:dyDescent="0.3">
      <c r="A39" s="1">
        <v>0.76690000000000003</v>
      </c>
      <c r="B39" s="1">
        <v>9.9619999999999997</v>
      </c>
      <c r="D39" s="1">
        <v>6.4189999999999997E-2</v>
      </c>
      <c r="E39" s="1">
        <v>1.6737</v>
      </c>
    </row>
    <row r="40" spans="1:9" x14ac:dyDescent="0.3">
      <c r="A40" s="1">
        <v>0.78759999999999997</v>
      </c>
      <c r="B40" s="1">
        <v>10.050000000000001</v>
      </c>
      <c r="D40" s="1">
        <v>4.2889999999999998E-2</v>
      </c>
      <c r="E40" s="1">
        <v>0.74875999999999998</v>
      </c>
    </row>
    <row r="41" spans="1:9" x14ac:dyDescent="0.3">
      <c r="A41" s="1">
        <v>0.80830000000000002</v>
      </c>
      <c r="B41" s="1">
        <v>10.130000000000001</v>
      </c>
      <c r="D41" s="1">
        <v>2.743E-2</v>
      </c>
      <c r="E41" s="1">
        <v>0.36337000000000003</v>
      </c>
    </row>
    <row r="42" spans="1:9" x14ac:dyDescent="0.3">
      <c r="A42" s="1">
        <v>0.82899999999999996</v>
      </c>
      <c r="B42" s="1">
        <v>10.199999999999999</v>
      </c>
      <c r="D42" s="1">
        <v>1.6119999999999999E-2</v>
      </c>
      <c r="E42" s="1">
        <v>0.19269</v>
      </c>
    </row>
    <row r="43" spans="1:9" x14ac:dyDescent="0.3">
      <c r="A43" s="1">
        <v>0.8498</v>
      </c>
      <c r="B43" s="1">
        <v>10.27</v>
      </c>
      <c r="D43" s="1">
        <v>9.1699999999999993E-3</v>
      </c>
      <c r="E43" s="1">
        <v>0.11011</v>
      </c>
    </row>
    <row r="44" spans="1:9" x14ac:dyDescent="0.3">
      <c r="A44" s="1">
        <v>0.87050000000000005</v>
      </c>
      <c r="B44" s="1">
        <v>10.35</v>
      </c>
      <c r="D44" s="1">
        <v>2.5000000000000001E-3</v>
      </c>
      <c r="E44" s="1">
        <v>7.7079999999999996E-2</v>
      </c>
    </row>
    <row r="45" spans="1:9" x14ac:dyDescent="0.3">
      <c r="A45" s="1">
        <v>0.89119999999999999</v>
      </c>
      <c r="B45" s="1">
        <v>10.42</v>
      </c>
    </row>
    <row r="46" spans="1:9" x14ac:dyDescent="0.3">
      <c r="A46" s="1">
        <v>0.91190000000000004</v>
      </c>
      <c r="B46" s="1">
        <v>10.49</v>
      </c>
    </row>
    <row r="47" spans="1:9" x14ac:dyDescent="0.3">
      <c r="A47" s="1">
        <v>0.93269999999999997</v>
      </c>
      <c r="B47" s="1">
        <v>10.56</v>
      </c>
    </row>
    <row r="48" spans="1:9" x14ac:dyDescent="0.3">
      <c r="A48" s="1">
        <v>0.95340000000000003</v>
      </c>
      <c r="B48" s="1">
        <v>10.64</v>
      </c>
    </row>
    <row r="49" spans="1:2" x14ac:dyDescent="0.3">
      <c r="A49" s="1">
        <v>0.97409999999999997</v>
      </c>
      <c r="B49" s="1">
        <v>10.71</v>
      </c>
    </row>
    <row r="50" spans="1:2" x14ac:dyDescent="0.3">
      <c r="A50" s="1">
        <v>0.99490000000000001</v>
      </c>
      <c r="B50" s="1">
        <v>10.79</v>
      </c>
    </row>
    <row r="51" spans="1:2" x14ac:dyDescent="0.3">
      <c r="A51" s="1">
        <v>1.016</v>
      </c>
      <c r="B51" s="1">
        <v>10.86</v>
      </c>
    </row>
    <row r="52" spans="1:2" x14ac:dyDescent="0.3">
      <c r="A52" s="1">
        <v>1.036</v>
      </c>
      <c r="B52" s="1">
        <v>10.94</v>
      </c>
    </row>
    <row r="53" spans="1:2" x14ac:dyDescent="0.3">
      <c r="A53" s="1">
        <v>1.0569999999999999</v>
      </c>
      <c r="B53" s="1">
        <v>11.01</v>
      </c>
    </row>
    <row r="54" spans="1:2" x14ac:dyDescent="0.3">
      <c r="A54" s="1">
        <v>1.0780000000000001</v>
      </c>
      <c r="B54" s="1">
        <v>11.09</v>
      </c>
    </row>
    <row r="55" spans="1:2" x14ac:dyDescent="0.3">
      <c r="A55" s="1">
        <v>1.0980000000000001</v>
      </c>
      <c r="B55" s="1">
        <v>11.18</v>
      </c>
    </row>
    <row r="56" spans="1:2" x14ac:dyDescent="0.3">
      <c r="A56" s="1">
        <v>1.119</v>
      </c>
      <c r="B56" s="1">
        <v>11.25</v>
      </c>
    </row>
    <row r="57" spans="1:2" x14ac:dyDescent="0.3">
      <c r="A57" s="1">
        <v>1.1399999999999999</v>
      </c>
      <c r="B57" s="1">
        <v>11.32</v>
      </c>
    </row>
    <row r="58" spans="1:2" x14ac:dyDescent="0.3">
      <c r="A58" s="1">
        <v>1.161</v>
      </c>
      <c r="B58" s="1">
        <v>11.41</v>
      </c>
    </row>
    <row r="59" spans="1:2" x14ac:dyDescent="0.3">
      <c r="A59" s="1">
        <v>1.181</v>
      </c>
      <c r="B59" s="1">
        <v>11.49</v>
      </c>
    </row>
    <row r="60" spans="1:2" x14ac:dyDescent="0.3">
      <c r="A60" s="1">
        <v>1.202</v>
      </c>
      <c r="B60" s="1">
        <v>11.58</v>
      </c>
    </row>
    <row r="61" spans="1:2" x14ac:dyDescent="0.3">
      <c r="A61" s="1">
        <v>1.2230000000000001</v>
      </c>
      <c r="B61" s="1">
        <v>11.66</v>
      </c>
    </row>
    <row r="62" spans="1:2" x14ac:dyDescent="0.3">
      <c r="A62" s="1">
        <v>1.244</v>
      </c>
      <c r="B62" s="1">
        <v>11.75</v>
      </c>
    </row>
    <row r="63" spans="1:2" x14ac:dyDescent="0.3">
      <c r="A63" s="1">
        <v>1.264</v>
      </c>
      <c r="B63" s="1">
        <v>11.86</v>
      </c>
    </row>
    <row r="64" spans="1:2" x14ac:dyDescent="0.3">
      <c r="A64" s="1">
        <v>1.2849999999999999</v>
      </c>
      <c r="B64" s="1">
        <v>11.96</v>
      </c>
    </row>
    <row r="65" spans="1:2" x14ac:dyDescent="0.3">
      <c r="A65" s="1">
        <v>1.306</v>
      </c>
      <c r="B65" s="1">
        <v>12.06</v>
      </c>
    </row>
    <row r="66" spans="1:2" x14ac:dyDescent="0.3">
      <c r="A66" s="1">
        <v>1.3260000000000001</v>
      </c>
      <c r="B66" s="1">
        <v>12.18</v>
      </c>
    </row>
    <row r="67" spans="1:2" x14ac:dyDescent="0.3">
      <c r="A67" s="1">
        <v>1.347</v>
      </c>
      <c r="B67" s="1">
        <v>12.31</v>
      </c>
    </row>
    <row r="68" spans="1:2" x14ac:dyDescent="0.3">
      <c r="A68" s="1">
        <v>1.3680000000000001</v>
      </c>
      <c r="B68" s="1">
        <v>12.43</v>
      </c>
    </row>
    <row r="69" spans="1:2" x14ac:dyDescent="0.3">
      <c r="A69" s="1">
        <v>1.389</v>
      </c>
      <c r="B69" s="1">
        <v>12.58</v>
      </c>
    </row>
    <row r="70" spans="1:2" x14ac:dyDescent="0.3">
      <c r="A70" s="1">
        <v>1.409</v>
      </c>
      <c r="B70" s="1">
        <v>12.73</v>
      </c>
    </row>
    <row r="71" spans="1:2" x14ac:dyDescent="0.3">
      <c r="A71" s="1">
        <v>1.43</v>
      </c>
      <c r="B71" s="1">
        <v>12.91</v>
      </c>
    </row>
    <row r="72" spans="1:2" x14ac:dyDescent="0.3">
      <c r="A72" s="1">
        <v>1.4510000000000001</v>
      </c>
      <c r="B72" s="1">
        <v>13.09</v>
      </c>
    </row>
    <row r="73" spans="1:2" x14ac:dyDescent="0.3">
      <c r="A73" s="1">
        <v>1.472</v>
      </c>
      <c r="B73" s="1">
        <v>13.27</v>
      </c>
    </row>
    <row r="74" spans="1:2" x14ac:dyDescent="0.3">
      <c r="A74" s="1">
        <v>1.492</v>
      </c>
      <c r="B74" s="1">
        <v>13.52</v>
      </c>
    </row>
    <row r="75" spans="1:2" x14ac:dyDescent="0.3">
      <c r="A75" s="1">
        <v>1.5129999999999999</v>
      </c>
      <c r="B75" s="1">
        <v>13.81</v>
      </c>
    </row>
    <row r="76" spans="1:2" x14ac:dyDescent="0.3">
      <c r="A76" s="1">
        <v>1.534</v>
      </c>
      <c r="B76" s="1">
        <v>14.16</v>
      </c>
    </row>
    <row r="77" spans="1:2" x14ac:dyDescent="0.3">
      <c r="A77" s="1">
        <v>1.554</v>
      </c>
      <c r="B77" s="1">
        <v>14.74</v>
      </c>
    </row>
    <row r="78" spans="1:2" x14ac:dyDescent="0.3">
      <c r="A78" s="1">
        <v>1.575</v>
      </c>
      <c r="B78" s="1">
        <v>15.54</v>
      </c>
    </row>
    <row r="79" spans="1:2" x14ac:dyDescent="0.3">
      <c r="A79" s="1">
        <v>1.5960000000000001</v>
      </c>
      <c r="B79" s="1">
        <v>17.34</v>
      </c>
    </row>
    <row r="80" spans="1:2" x14ac:dyDescent="0.3">
      <c r="A80" s="1">
        <v>1.617</v>
      </c>
      <c r="B80" s="1">
        <v>20.149999999999999</v>
      </c>
    </row>
    <row r="81" spans="1:2" x14ac:dyDescent="0.3">
      <c r="A81" s="1">
        <v>1.637</v>
      </c>
      <c r="B81" s="1">
        <v>23.88</v>
      </c>
    </row>
    <row r="82" spans="1:2" x14ac:dyDescent="0.3">
      <c r="A82" s="1">
        <v>1.6579999999999999</v>
      </c>
      <c r="B82" s="1">
        <v>33.1</v>
      </c>
    </row>
    <row r="83" spans="1:2" x14ac:dyDescent="0.3">
      <c r="A83" s="1">
        <v>1.679</v>
      </c>
      <c r="B83" s="1">
        <v>40.049999999999997</v>
      </c>
    </row>
  </sheetData>
  <mergeCells count="10">
    <mergeCell ref="H34:I34"/>
    <mergeCell ref="G1:I1"/>
    <mergeCell ref="G13:I13"/>
    <mergeCell ref="G25:I25"/>
    <mergeCell ref="H10:I10"/>
    <mergeCell ref="H18:I18"/>
    <mergeCell ref="H19:I19"/>
    <mergeCell ref="H22:I22"/>
    <mergeCell ref="H6:I6"/>
    <mergeCell ref="H7:I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1604-DDF0-4BCC-8E9F-1CECBFC251F8}">
  <dimension ref="A1:I517"/>
  <sheetViews>
    <sheetView tabSelected="1" zoomScale="70" zoomScaleNormal="70" workbookViewId="0"/>
  </sheetViews>
  <sheetFormatPr baseColWidth="10" defaultRowHeight="14.4" x14ac:dyDescent="0.3"/>
  <cols>
    <col min="1" max="1" width="24.6640625" style="1" customWidth="1"/>
    <col min="2" max="2" width="37.33203125" style="1" bestFit="1" customWidth="1"/>
    <col min="3" max="3" width="9.44140625" style="1" customWidth="1"/>
    <col min="4" max="4" width="23.6640625" style="1" customWidth="1"/>
    <col min="5" max="5" width="44" style="1" customWidth="1"/>
    <col min="6" max="7" width="11.5546875" style="1"/>
    <col min="8" max="9" width="12.77734375" style="1" customWidth="1"/>
    <col min="10" max="16384" width="11.5546875" style="1"/>
  </cols>
  <sheetData>
    <row r="1" spans="1:9" x14ac:dyDescent="0.3">
      <c r="A1" s="1" t="s">
        <v>0</v>
      </c>
      <c r="B1" s="1" t="s">
        <v>1</v>
      </c>
      <c r="D1" s="1" t="s">
        <v>0</v>
      </c>
      <c r="E1" s="1" t="s">
        <v>2</v>
      </c>
      <c r="G1" s="12" t="s">
        <v>15</v>
      </c>
      <c r="H1" s="12"/>
      <c r="I1" s="12"/>
    </row>
    <row r="2" spans="1:9" x14ac:dyDescent="0.3">
      <c r="A2" s="1">
        <v>0</v>
      </c>
      <c r="B2" s="1">
        <v>1</v>
      </c>
      <c r="D2" s="1">
        <v>0</v>
      </c>
      <c r="E2" s="1">
        <v>5.2270000000000003</v>
      </c>
      <c r="G2" s="5" t="s">
        <v>3</v>
      </c>
      <c r="H2" s="6">
        <v>160</v>
      </c>
      <c r="I2" s="6">
        <v>80</v>
      </c>
    </row>
    <row r="3" spans="1:9" x14ac:dyDescent="0.3">
      <c r="A3" s="1">
        <v>3.5999999999999999E-3</v>
      </c>
      <c r="B3" s="1">
        <v>1</v>
      </c>
      <c r="D3" s="1">
        <v>3.5999999999999999E-3</v>
      </c>
      <c r="E3" s="1">
        <v>5.2270000000000003</v>
      </c>
      <c r="G3" s="2" t="s">
        <v>4</v>
      </c>
      <c r="H3" s="3">
        <v>90</v>
      </c>
      <c r="I3" s="3">
        <v>10</v>
      </c>
    </row>
    <row r="4" spans="1:9" x14ac:dyDescent="0.3">
      <c r="A4" s="1">
        <v>7.1999999999999998E-3</v>
      </c>
      <c r="B4" s="1">
        <v>1</v>
      </c>
      <c r="D4" s="1">
        <v>7.1999999999999998E-3</v>
      </c>
      <c r="E4" s="1">
        <v>5.2270000000000003</v>
      </c>
      <c r="G4" s="2" t="s">
        <v>5</v>
      </c>
      <c r="H4" s="10">
        <v>0.16830000000000001</v>
      </c>
      <c r="I4" s="10">
        <v>0.79890000000000005</v>
      </c>
    </row>
    <row r="5" spans="1:9" x14ac:dyDescent="0.3">
      <c r="A5" s="1">
        <v>1.0800000000000001E-2</v>
      </c>
      <c r="B5" s="1">
        <v>1</v>
      </c>
      <c r="D5" s="1">
        <v>1.0800000000000001E-2</v>
      </c>
      <c r="E5" s="1">
        <v>5.2270000000000003</v>
      </c>
      <c r="G5" s="2" t="s">
        <v>6</v>
      </c>
      <c r="H5" s="8">
        <v>0.30580000000000002</v>
      </c>
      <c r="I5" s="8">
        <v>1.4510000000000001</v>
      </c>
    </row>
    <row r="6" spans="1:9" x14ac:dyDescent="0.3">
      <c r="A6" s="1">
        <v>1.44E-2</v>
      </c>
      <c r="B6" s="1">
        <v>1</v>
      </c>
      <c r="D6" s="1">
        <v>1.44E-2</v>
      </c>
      <c r="E6" s="1">
        <v>5.2270000000000003</v>
      </c>
      <c r="G6" s="2" t="s">
        <v>7</v>
      </c>
      <c r="H6" s="11">
        <f>I5-H5</f>
        <v>1.1452</v>
      </c>
      <c r="I6" s="11"/>
    </row>
    <row r="7" spans="1:9" x14ac:dyDescent="0.3">
      <c r="A7" s="1">
        <v>1.7999999999999999E-2</v>
      </c>
      <c r="B7" s="1">
        <v>1</v>
      </c>
      <c r="D7" s="1">
        <v>1.7999999999999999E-2</v>
      </c>
      <c r="E7" s="1">
        <v>5.2270000000000003</v>
      </c>
      <c r="G7" s="2" t="s">
        <v>8</v>
      </c>
      <c r="H7" s="13">
        <v>0.05</v>
      </c>
      <c r="I7" s="13"/>
    </row>
    <row r="8" spans="1:9" x14ac:dyDescent="0.3">
      <c r="A8" s="1">
        <v>2.1600000000000001E-2</v>
      </c>
      <c r="B8" s="1">
        <v>1</v>
      </c>
      <c r="D8" s="1">
        <v>2.1600000000000001E-2</v>
      </c>
      <c r="E8" s="1">
        <v>5.2270000000000003</v>
      </c>
      <c r="G8" s="5" t="s">
        <v>9</v>
      </c>
      <c r="H8" s="7">
        <f>H5+H7*H6</f>
        <v>0.36306000000000005</v>
      </c>
      <c r="I8" s="7">
        <f>I5-H7*H6</f>
        <v>1.39374</v>
      </c>
    </row>
    <row r="9" spans="1:9" x14ac:dyDescent="0.3">
      <c r="A9" s="1">
        <v>2.52E-2</v>
      </c>
      <c r="B9" s="1">
        <v>1</v>
      </c>
      <c r="D9" s="1">
        <v>2.52E-2</v>
      </c>
      <c r="E9" s="1">
        <v>5.2270000000000003</v>
      </c>
      <c r="G9" s="2" t="s">
        <v>10</v>
      </c>
      <c r="H9" s="10">
        <v>0.19989999999999999</v>
      </c>
      <c r="I9" s="10">
        <v>0.76729999999999998</v>
      </c>
    </row>
    <row r="10" spans="1:9" x14ac:dyDescent="0.3">
      <c r="A10" s="1">
        <v>2.8799999999999999E-2</v>
      </c>
      <c r="B10" s="1">
        <v>1</v>
      </c>
      <c r="D10" s="1">
        <v>2.8799999999999999E-2</v>
      </c>
      <c r="E10" s="1">
        <v>5.2270000000000003</v>
      </c>
      <c r="G10" s="2" t="s">
        <v>13</v>
      </c>
      <c r="H10" s="11">
        <f>I8-H8</f>
        <v>1.0306799999999998</v>
      </c>
      <c r="I10" s="11"/>
    </row>
    <row r="11" spans="1:9" x14ac:dyDescent="0.3">
      <c r="A11" s="1">
        <v>3.2399999999999998E-2</v>
      </c>
      <c r="B11" s="1">
        <v>1</v>
      </c>
      <c r="D11" s="1">
        <v>3.2399999999999998E-2</v>
      </c>
      <c r="E11" s="1">
        <v>5.2270000000000003</v>
      </c>
    </row>
    <row r="12" spans="1:9" x14ac:dyDescent="0.3">
      <c r="A12" s="1">
        <v>3.5999999999999997E-2</v>
      </c>
      <c r="B12" s="1">
        <v>1</v>
      </c>
      <c r="D12" s="1">
        <v>3.5999999999999997E-2</v>
      </c>
      <c r="E12" s="1">
        <v>5.2270000000000003</v>
      </c>
    </row>
    <row r="13" spans="1:9" x14ac:dyDescent="0.3">
      <c r="A13" s="1">
        <v>3.9600000000000003E-2</v>
      </c>
      <c r="B13" s="1">
        <v>1.145</v>
      </c>
      <c r="D13" s="1">
        <v>3.9600000000000003E-2</v>
      </c>
      <c r="E13" s="1">
        <v>5.2270000000000003</v>
      </c>
      <c r="G13" s="12" t="s">
        <v>16</v>
      </c>
      <c r="H13" s="12"/>
      <c r="I13" s="12"/>
    </row>
    <row r="14" spans="1:9" x14ac:dyDescent="0.3">
      <c r="A14" s="1">
        <v>4.3200000000000002E-2</v>
      </c>
      <c r="B14" s="1">
        <v>1.3049999999999999</v>
      </c>
      <c r="D14" s="1">
        <v>4.3200000000000002E-2</v>
      </c>
      <c r="E14" s="1">
        <v>5.2270000000000003</v>
      </c>
      <c r="G14" s="5" t="s">
        <v>3</v>
      </c>
      <c r="H14" s="6">
        <v>180</v>
      </c>
      <c r="I14" s="6">
        <v>90</v>
      </c>
    </row>
    <row r="15" spans="1:9" x14ac:dyDescent="0.3">
      <c r="A15" s="1">
        <v>4.6800000000000001E-2</v>
      </c>
      <c r="B15" s="1">
        <v>1.4830000000000001</v>
      </c>
      <c r="D15" s="1">
        <v>4.6800000000000001E-2</v>
      </c>
      <c r="E15" s="1">
        <v>5.2270000000000003</v>
      </c>
      <c r="G15" s="2" t="s">
        <v>4</v>
      </c>
      <c r="H15" s="3">
        <v>90</v>
      </c>
      <c r="I15" s="3">
        <v>10</v>
      </c>
    </row>
    <row r="16" spans="1:9" x14ac:dyDescent="0.3">
      <c r="A16" s="1">
        <v>5.04E-2</v>
      </c>
      <c r="B16" s="1">
        <v>1.6779999999999999</v>
      </c>
      <c r="D16" s="1">
        <v>5.04E-2</v>
      </c>
      <c r="E16" s="1">
        <v>5.2270000000000003</v>
      </c>
      <c r="G16" s="2" t="s">
        <v>5</v>
      </c>
      <c r="H16" s="10">
        <v>0.20580000000000001</v>
      </c>
      <c r="I16" s="10">
        <v>0.94469999999999998</v>
      </c>
    </row>
    <row r="17" spans="1:9" x14ac:dyDescent="0.3">
      <c r="A17" s="1">
        <v>5.3999999999999999E-2</v>
      </c>
      <c r="B17" s="1">
        <v>1.8919999999999999</v>
      </c>
      <c r="D17" s="1">
        <v>5.3999999999999999E-2</v>
      </c>
      <c r="E17" s="1">
        <v>6.0149999999999997</v>
      </c>
      <c r="G17" s="2" t="s">
        <v>6</v>
      </c>
      <c r="H17" s="8">
        <v>0.37369999999999998</v>
      </c>
      <c r="I17" s="8">
        <v>1.716</v>
      </c>
    </row>
    <row r="18" spans="1:9" x14ac:dyDescent="0.3">
      <c r="A18" s="1">
        <v>5.7599999999999998E-2</v>
      </c>
      <c r="B18" s="1">
        <v>2.125</v>
      </c>
      <c r="D18" s="1">
        <v>5.7599999999999998E-2</v>
      </c>
      <c r="E18" s="1">
        <v>7.0490000000000004</v>
      </c>
      <c r="G18" s="2" t="s">
        <v>7</v>
      </c>
      <c r="H18" s="11">
        <f>I17-H17</f>
        <v>1.3423</v>
      </c>
      <c r="I18" s="11"/>
    </row>
    <row r="19" spans="1:9" x14ac:dyDescent="0.3">
      <c r="A19" s="1">
        <v>6.1199999999999997E-2</v>
      </c>
      <c r="B19" s="1">
        <v>2.379</v>
      </c>
      <c r="D19" s="1">
        <v>6.1199999999999997E-2</v>
      </c>
      <c r="E19" s="1">
        <v>8.17</v>
      </c>
      <c r="G19" s="2" t="s">
        <v>8</v>
      </c>
      <c r="H19" s="13">
        <v>0.05</v>
      </c>
      <c r="I19" s="13"/>
    </row>
    <row r="20" spans="1:9" x14ac:dyDescent="0.3">
      <c r="A20" s="1">
        <v>6.4799999999999996E-2</v>
      </c>
      <c r="B20" s="1">
        <v>2.6520000000000001</v>
      </c>
      <c r="D20" s="1">
        <v>6.4799999999999996E-2</v>
      </c>
      <c r="E20" s="1">
        <v>9.3770000000000007</v>
      </c>
      <c r="G20" s="5" t="s">
        <v>9</v>
      </c>
      <c r="H20" s="7">
        <f>H17+H19*H18</f>
        <v>0.44081499999999996</v>
      </c>
      <c r="I20" s="7">
        <f>I17-H19*H18</f>
        <v>1.6488849999999999</v>
      </c>
    </row>
    <row r="21" spans="1:9" x14ac:dyDescent="0.3">
      <c r="A21" s="1">
        <v>6.8400000000000002E-2</v>
      </c>
      <c r="B21" s="1">
        <v>2.9460000000000002</v>
      </c>
      <c r="D21" s="1">
        <v>6.8400000000000002E-2</v>
      </c>
      <c r="E21" s="1">
        <v>10.67</v>
      </c>
      <c r="G21" s="2" t="s">
        <v>10</v>
      </c>
      <c r="H21" s="10">
        <v>0.2427</v>
      </c>
      <c r="I21" s="10">
        <v>0.90600000000000003</v>
      </c>
    </row>
    <row r="22" spans="1:9" x14ac:dyDescent="0.3">
      <c r="A22" s="1">
        <v>7.1999999999999995E-2</v>
      </c>
      <c r="B22" s="1">
        <v>3.2610000000000001</v>
      </c>
      <c r="D22" s="1">
        <v>7.1999999999999995E-2</v>
      </c>
      <c r="E22" s="1">
        <v>12.05</v>
      </c>
      <c r="G22" s="2" t="s">
        <v>13</v>
      </c>
      <c r="H22" s="11">
        <f>I20-H20</f>
        <v>1.20807</v>
      </c>
      <c r="I22" s="11"/>
    </row>
    <row r="23" spans="1:9" x14ac:dyDescent="0.3">
      <c r="A23" s="1">
        <v>7.5600000000000001E-2</v>
      </c>
      <c r="B23" s="1">
        <v>3.5960000000000001</v>
      </c>
      <c r="D23" s="1">
        <v>7.5600000000000001E-2</v>
      </c>
      <c r="E23" s="1">
        <v>13.51</v>
      </c>
    </row>
    <row r="24" spans="1:9" x14ac:dyDescent="0.3">
      <c r="A24" s="1">
        <v>7.9200000000000007E-2</v>
      </c>
      <c r="B24" s="1">
        <v>3.9529999999999998</v>
      </c>
      <c r="D24" s="1">
        <v>7.9200000000000007E-2</v>
      </c>
      <c r="E24" s="1">
        <v>15.06</v>
      </c>
    </row>
    <row r="25" spans="1:9" x14ac:dyDescent="0.3">
      <c r="A25" s="1">
        <v>8.2799999999999999E-2</v>
      </c>
      <c r="B25" s="1">
        <v>4.33</v>
      </c>
      <c r="D25" s="1">
        <v>8.2799999999999999E-2</v>
      </c>
      <c r="E25" s="1">
        <v>16.68</v>
      </c>
      <c r="G25" s="12" t="s">
        <v>17</v>
      </c>
      <c r="H25" s="12"/>
      <c r="I25" s="12"/>
    </row>
    <row r="26" spans="1:9" x14ac:dyDescent="0.3">
      <c r="A26" s="1">
        <v>8.6400000000000005E-2</v>
      </c>
      <c r="B26" s="1">
        <v>4.7279999999999998</v>
      </c>
      <c r="D26" s="1">
        <v>8.6400000000000005E-2</v>
      </c>
      <c r="E26" s="1">
        <v>18.38</v>
      </c>
      <c r="G26" s="5" t="s">
        <v>3</v>
      </c>
      <c r="H26" s="6">
        <v>250</v>
      </c>
      <c r="I26" s="6">
        <v>100</v>
      </c>
    </row>
    <row r="27" spans="1:9" x14ac:dyDescent="0.3">
      <c r="A27" s="1">
        <v>0.09</v>
      </c>
      <c r="B27" s="1">
        <v>5.1449999999999996</v>
      </c>
      <c r="D27" s="1">
        <v>0.09</v>
      </c>
      <c r="E27" s="1">
        <v>20.170000000000002</v>
      </c>
      <c r="G27" s="2" t="s">
        <v>4</v>
      </c>
      <c r="H27" s="3">
        <v>90</v>
      </c>
      <c r="I27" s="3">
        <v>10</v>
      </c>
    </row>
    <row r="28" spans="1:9" x14ac:dyDescent="0.3">
      <c r="A28" s="1">
        <v>9.3600000000000003E-2</v>
      </c>
      <c r="B28" s="1">
        <v>5.5830000000000002</v>
      </c>
      <c r="D28" s="1">
        <v>9.3600000000000003E-2</v>
      </c>
      <c r="E28" s="1">
        <v>22.02</v>
      </c>
      <c r="G28" s="2" t="s">
        <v>5</v>
      </c>
      <c r="H28" s="10">
        <v>0.72499999999999998</v>
      </c>
      <c r="I28" s="10">
        <v>0.97899999999999998</v>
      </c>
    </row>
    <row r="29" spans="1:9" x14ac:dyDescent="0.3">
      <c r="A29" s="1">
        <v>9.7199999999999995E-2</v>
      </c>
      <c r="B29" s="1">
        <v>6.04</v>
      </c>
      <c r="D29" s="1">
        <v>9.7199999999999995E-2</v>
      </c>
      <c r="E29" s="1">
        <v>23.95</v>
      </c>
      <c r="G29" s="2" t="s">
        <v>6</v>
      </c>
      <c r="H29" s="8">
        <v>1.32</v>
      </c>
      <c r="I29" s="8">
        <v>1.778</v>
      </c>
    </row>
    <row r="30" spans="1:9" x14ac:dyDescent="0.3">
      <c r="A30" s="1">
        <v>0.1008</v>
      </c>
      <c r="B30" s="1">
        <v>6.516</v>
      </c>
      <c r="D30" s="1">
        <v>0.1008</v>
      </c>
      <c r="E30" s="1">
        <v>25.95</v>
      </c>
      <c r="G30" s="2" t="s">
        <v>7</v>
      </c>
      <c r="H30" s="11">
        <f>I29-H29</f>
        <v>0.45799999999999996</v>
      </c>
      <c r="I30" s="11"/>
    </row>
    <row r="31" spans="1:9" x14ac:dyDescent="0.3">
      <c r="A31" s="1">
        <v>0.10440000000000001</v>
      </c>
      <c r="B31" s="1">
        <v>7.0110000000000001</v>
      </c>
      <c r="D31" s="1">
        <v>0.10440000000000001</v>
      </c>
      <c r="E31" s="1">
        <v>28.01</v>
      </c>
      <c r="G31" s="2" t="s">
        <v>8</v>
      </c>
      <c r="H31" s="13">
        <v>0.05</v>
      </c>
      <c r="I31" s="13"/>
    </row>
    <row r="32" spans="1:9" x14ac:dyDescent="0.3">
      <c r="A32" s="1">
        <v>0.108</v>
      </c>
      <c r="B32" s="1">
        <v>7.5229999999999997</v>
      </c>
      <c r="D32" s="1">
        <v>0.108</v>
      </c>
      <c r="E32" s="1">
        <v>30.14</v>
      </c>
      <c r="G32" s="5" t="s">
        <v>9</v>
      </c>
      <c r="H32" s="7">
        <f>H29+H31*H30</f>
        <v>1.3429</v>
      </c>
      <c r="I32" s="7">
        <f>I29-H31*H30</f>
        <v>1.7551000000000001</v>
      </c>
    </row>
    <row r="33" spans="1:9" x14ac:dyDescent="0.3">
      <c r="A33" s="1">
        <v>0.1116</v>
      </c>
      <c r="B33" s="1">
        <v>8.0530000000000008</v>
      </c>
      <c r="D33" s="1">
        <v>0.1116</v>
      </c>
      <c r="E33" s="1">
        <v>32.33</v>
      </c>
      <c r="G33" s="2" t="s">
        <v>10</v>
      </c>
      <c r="H33" s="10">
        <v>0.73899999999999999</v>
      </c>
      <c r="I33" s="10">
        <v>0.96599999999999997</v>
      </c>
    </row>
    <row r="34" spans="1:9" x14ac:dyDescent="0.3">
      <c r="A34" s="1">
        <v>0.1152</v>
      </c>
      <c r="B34" s="1">
        <v>8.5990000000000002</v>
      </c>
      <c r="D34" s="1">
        <v>0.1152</v>
      </c>
      <c r="E34" s="1">
        <v>34.57</v>
      </c>
      <c r="G34" s="2" t="s">
        <v>13</v>
      </c>
      <c r="H34" s="11">
        <f>I32-H32</f>
        <v>0.41220000000000012</v>
      </c>
      <c r="I34" s="11"/>
    </row>
    <row r="35" spans="1:9" x14ac:dyDescent="0.3">
      <c r="A35" s="1">
        <v>0.1188</v>
      </c>
      <c r="B35" s="1">
        <v>9.1609999999999996</v>
      </c>
      <c r="D35" s="1">
        <v>0.1188</v>
      </c>
      <c r="E35" s="1">
        <v>36.869999999999997</v>
      </c>
    </row>
    <row r="36" spans="1:9" x14ac:dyDescent="0.3">
      <c r="A36" s="1">
        <v>0.12239999999999999</v>
      </c>
      <c r="B36" s="1">
        <v>9.7379999999999995</v>
      </c>
      <c r="D36" s="1">
        <v>0.12239999999999999</v>
      </c>
      <c r="E36" s="1">
        <v>39.229999999999997</v>
      </c>
    </row>
    <row r="37" spans="1:9" x14ac:dyDescent="0.3">
      <c r="A37" s="1">
        <v>0.126</v>
      </c>
      <c r="B37" s="1">
        <v>10.33</v>
      </c>
      <c r="D37" s="1">
        <v>0.126</v>
      </c>
      <c r="E37" s="1">
        <v>41.63</v>
      </c>
    </row>
    <row r="38" spans="1:9" x14ac:dyDescent="0.3">
      <c r="A38" s="1">
        <v>0.12959999999999999</v>
      </c>
      <c r="B38" s="1">
        <v>10.94</v>
      </c>
      <c r="D38" s="1">
        <v>0.12959999999999999</v>
      </c>
      <c r="E38" s="1">
        <v>44.08</v>
      </c>
    </row>
    <row r="39" spans="1:9" x14ac:dyDescent="0.3">
      <c r="A39" s="1">
        <v>0.13320000000000001</v>
      </c>
      <c r="B39" s="1">
        <v>11.55</v>
      </c>
      <c r="D39" s="1">
        <v>0.13320000000000001</v>
      </c>
      <c r="E39" s="1">
        <v>46.56</v>
      </c>
    </row>
    <row r="40" spans="1:9" x14ac:dyDescent="0.3">
      <c r="A40" s="1">
        <v>0.1368</v>
      </c>
      <c r="B40" s="1">
        <v>12.18</v>
      </c>
      <c r="D40" s="1">
        <v>0.1368</v>
      </c>
      <c r="E40" s="1">
        <v>49.09</v>
      </c>
    </row>
    <row r="41" spans="1:9" x14ac:dyDescent="0.3">
      <c r="A41" s="1">
        <v>0.1404</v>
      </c>
      <c r="B41" s="1">
        <v>12.83</v>
      </c>
      <c r="D41" s="1">
        <v>0.1404</v>
      </c>
      <c r="E41" s="1">
        <v>51.66</v>
      </c>
    </row>
    <row r="42" spans="1:9" x14ac:dyDescent="0.3">
      <c r="A42" s="1">
        <v>0.14399999999999999</v>
      </c>
      <c r="B42" s="1">
        <v>13.48</v>
      </c>
      <c r="D42" s="1">
        <v>0.14399999999999999</v>
      </c>
      <c r="E42" s="1">
        <v>54.25</v>
      </c>
    </row>
    <row r="43" spans="1:9" x14ac:dyDescent="0.3">
      <c r="A43" s="1">
        <v>0.14760000000000001</v>
      </c>
      <c r="B43" s="1">
        <v>14.14</v>
      </c>
      <c r="D43" s="1">
        <v>0.14760000000000001</v>
      </c>
      <c r="E43" s="1">
        <v>56.88</v>
      </c>
    </row>
    <row r="44" spans="1:9" x14ac:dyDescent="0.3">
      <c r="A44" s="1">
        <v>0.1512</v>
      </c>
      <c r="B44" s="1">
        <v>14.81</v>
      </c>
      <c r="D44" s="1">
        <v>0.1512</v>
      </c>
      <c r="E44" s="1">
        <v>59.52</v>
      </c>
    </row>
    <row r="45" spans="1:9" x14ac:dyDescent="0.3">
      <c r="A45" s="1">
        <v>0.15479999999999999</v>
      </c>
      <c r="B45" s="1">
        <v>15.49</v>
      </c>
      <c r="D45" s="1">
        <v>0.15479999999999999</v>
      </c>
      <c r="E45" s="1">
        <v>62.2</v>
      </c>
    </row>
    <row r="46" spans="1:9" x14ac:dyDescent="0.3">
      <c r="A46" s="1">
        <v>0.15840000000000001</v>
      </c>
      <c r="B46" s="1">
        <v>16.170000000000002</v>
      </c>
      <c r="D46" s="1">
        <v>0.15840000000000001</v>
      </c>
      <c r="E46" s="1">
        <v>64.89</v>
      </c>
    </row>
    <row r="47" spans="1:9" x14ac:dyDescent="0.3">
      <c r="A47" s="1">
        <v>0.16200000000000001</v>
      </c>
      <c r="B47" s="1">
        <v>16.86</v>
      </c>
      <c r="D47" s="1">
        <v>0.16200000000000001</v>
      </c>
      <c r="E47" s="1">
        <v>67.59</v>
      </c>
    </row>
    <row r="48" spans="1:9" x14ac:dyDescent="0.3">
      <c r="A48" s="1">
        <v>0.1656</v>
      </c>
      <c r="B48" s="1">
        <v>17.559999999999999</v>
      </c>
      <c r="D48" s="1">
        <v>0.1656</v>
      </c>
      <c r="E48" s="1">
        <v>70.31</v>
      </c>
    </row>
    <row r="49" spans="1:5" x14ac:dyDescent="0.3">
      <c r="A49" s="1">
        <v>0.16919999999999999</v>
      </c>
      <c r="B49" s="1">
        <v>18.260000000000002</v>
      </c>
      <c r="D49" s="1">
        <v>0.16919999999999999</v>
      </c>
      <c r="E49" s="1">
        <v>73.040000000000006</v>
      </c>
    </row>
    <row r="50" spans="1:5" x14ac:dyDescent="0.3">
      <c r="A50" s="1">
        <v>0.17280000000000001</v>
      </c>
      <c r="B50" s="1">
        <v>18.97</v>
      </c>
      <c r="D50" s="1">
        <v>0.17280000000000001</v>
      </c>
      <c r="E50" s="1">
        <v>75.77</v>
      </c>
    </row>
    <row r="51" spans="1:5" x14ac:dyDescent="0.3">
      <c r="A51" s="1">
        <v>0.1764</v>
      </c>
      <c r="B51" s="1">
        <v>19.68</v>
      </c>
      <c r="D51" s="1">
        <v>0.1764</v>
      </c>
      <c r="E51" s="1">
        <v>78.510000000000005</v>
      </c>
    </row>
    <row r="52" spans="1:5" x14ac:dyDescent="0.3">
      <c r="A52" s="1">
        <v>0.18</v>
      </c>
      <c r="B52" s="1">
        <v>20.39</v>
      </c>
      <c r="D52" s="1">
        <v>0.18</v>
      </c>
      <c r="E52" s="1">
        <v>81.25</v>
      </c>
    </row>
    <row r="53" spans="1:5" x14ac:dyDescent="0.3">
      <c r="A53" s="1">
        <v>0.18360000000000001</v>
      </c>
      <c r="B53" s="1">
        <v>21.1</v>
      </c>
      <c r="D53" s="1">
        <v>0.18360000000000001</v>
      </c>
      <c r="E53" s="1">
        <v>83.98</v>
      </c>
    </row>
    <row r="54" spans="1:5" x14ac:dyDescent="0.3">
      <c r="A54" s="1">
        <v>0.18720000000000001</v>
      </c>
      <c r="B54" s="1">
        <v>21.81</v>
      </c>
      <c r="D54" s="1">
        <v>0.18720000000000001</v>
      </c>
      <c r="E54" s="1">
        <v>86.71</v>
      </c>
    </row>
    <row r="55" spans="1:5" x14ac:dyDescent="0.3">
      <c r="A55" s="1">
        <v>0.1908</v>
      </c>
      <c r="B55" s="1">
        <v>22.53</v>
      </c>
      <c r="D55" s="1">
        <v>0.1908</v>
      </c>
      <c r="E55" s="1">
        <v>89.43</v>
      </c>
    </row>
    <row r="56" spans="1:5" x14ac:dyDescent="0.3">
      <c r="A56" s="1">
        <v>0.19439999999999999</v>
      </c>
      <c r="B56" s="1">
        <v>23.24</v>
      </c>
      <c r="D56" s="1">
        <v>0.19439999999999999</v>
      </c>
      <c r="E56" s="1">
        <v>92.14</v>
      </c>
    </row>
    <row r="57" spans="1:5" x14ac:dyDescent="0.3">
      <c r="A57" s="1">
        <v>0.19800000000000001</v>
      </c>
      <c r="B57" s="1">
        <v>23.95</v>
      </c>
      <c r="D57" s="1">
        <v>0.19800000000000001</v>
      </c>
      <c r="E57" s="1">
        <v>94.84</v>
      </c>
    </row>
    <row r="58" spans="1:5" x14ac:dyDescent="0.3">
      <c r="A58" s="1">
        <v>0.2016</v>
      </c>
      <c r="B58" s="1">
        <v>24.66</v>
      </c>
      <c r="D58" s="1">
        <v>0.2016</v>
      </c>
      <c r="E58" s="1">
        <v>97.52</v>
      </c>
    </row>
    <row r="59" spans="1:5" x14ac:dyDescent="0.3">
      <c r="A59" s="1">
        <v>0.20519999999999999</v>
      </c>
      <c r="B59" s="1">
        <v>25.37</v>
      </c>
      <c r="D59" s="1">
        <v>0.20519999999999999</v>
      </c>
      <c r="E59" s="1">
        <v>100.2</v>
      </c>
    </row>
    <row r="60" spans="1:5" x14ac:dyDescent="0.3">
      <c r="A60" s="1">
        <v>0.20880000000000001</v>
      </c>
      <c r="B60" s="1">
        <v>26.07</v>
      </c>
      <c r="D60" s="1">
        <v>0.20880000000000001</v>
      </c>
      <c r="E60" s="1">
        <v>102.8</v>
      </c>
    </row>
    <row r="61" spans="1:5" x14ac:dyDescent="0.3">
      <c r="A61" s="1">
        <v>0.21240000000000001</v>
      </c>
      <c r="B61" s="1">
        <v>26.77</v>
      </c>
      <c r="D61" s="1">
        <v>0.21240000000000001</v>
      </c>
      <c r="E61" s="1">
        <v>105.4</v>
      </c>
    </row>
    <row r="62" spans="1:5" x14ac:dyDescent="0.3">
      <c r="A62" s="1">
        <v>0.216</v>
      </c>
      <c r="B62" s="1">
        <v>27.47</v>
      </c>
      <c r="D62" s="1">
        <v>0.216</v>
      </c>
      <c r="E62" s="1">
        <v>108</v>
      </c>
    </row>
    <row r="63" spans="1:5" x14ac:dyDescent="0.3">
      <c r="A63" s="1">
        <v>0.21959999999999999</v>
      </c>
      <c r="B63" s="1">
        <v>28.16</v>
      </c>
      <c r="D63" s="1">
        <v>0.21959999999999999</v>
      </c>
      <c r="E63" s="1">
        <v>110.6</v>
      </c>
    </row>
    <row r="64" spans="1:5" x14ac:dyDescent="0.3">
      <c r="A64" s="1">
        <v>0.22320000000000001</v>
      </c>
      <c r="B64" s="1">
        <v>28.85</v>
      </c>
      <c r="D64" s="1">
        <v>0.22320000000000001</v>
      </c>
      <c r="E64" s="1">
        <v>113.1</v>
      </c>
    </row>
    <row r="65" spans="1:5" x14ac:dyDescent="0.3">
      <c r="A65" s="1">
        <v>0.2268</v>
      </c>
      <c r="B65" s="1">
        <v>29.53</v>
      </c>
      <c r="D65" s="1">
        <v>0.2268</v>
      </c>
      <c r="E65" s="1">
        <v>115.6</v>
      </c>
    </row>
    <row r="66" spans="1:5" x14ac:dyDescent="0.3">
      <c r="A66" s="1">
        <v>0.23039999999999999</v>
      </c>
      <c r="B66" s="1">
        <v>30.2</v>
      </c>
      <c r="D66" s="1">
        <v>0.23039999999999999</v>
      </c>
      <c r="E66" s="1">
        <v>118.1</v>
      </c>
    </row>
    <row r="67" spans="1:5" x14ac:dyDescent="0.3">
      <c r="A67" s="1">
        <v>0.23400000000000001</v>
      </c>
      <c r="B67" s="1">
        <v>30.87</v>
      </c>
      <c r="D67" s="1">
        <v>0.23400000000000001</v>
      </c>
      <c r="E67" s="1">
        <v>120.5</v>
      </c>
    </row>
    <row r="68" spans="1:5" x14ac:dyDescent="0.3">
      <c r="A68" s="1">
        <v>0.23760000000000001</v>
      </c>
      <c r="B68" s="1">
        <v>31.53</v>
      </c>
      <c r="D68" s="1">
        <v>0.23760000000000001</v>
      </c>
      <c r="E68" s="1">
        <v>122.9</v>
      </c>
    </row>
    <row r="69" spans="1:5" x14ac:dyDescent="0.3">
      <c r="A69" s="1">
        <v>0.2412</v>
      </c>
      <c r="B69" s="1">
        <v>32.18</v>
      </c>
      <c r="D69" s="1">
        <v>0.2412</v>
      </c>
      <c r="E69" s="1">
        <v>125.3</v>
      </c>
    </row>
    <row r="70" spans="1:5" x14ac:dyDescent="0.3">
      <c r="A70" s="1">
        <v>0.24479999999999999</v>
      </c>
      <c r="B70" s="1">
        <v>32.82</v>
      </c>
      <c r="D70" s="1">
        <v>0.24479999999999999</v>
      </c>
      <c r="E70" s="1">
        <v>127.6</v>
      </c>
    </row>
    <row r="71" spans="1:5" x14ac:dyDescent="0.3">
      <c r="A71" s="1">
        <v>0.24840000000000001</v>
      </c>
      <c r="B71" s="1">
        <v>33.46</v>
      </c>
      <c r="D71" s="1">
        <v>0.24840000000000001</v>
      </c>
      <c r="E71" s="1">
        <v>129.9</v>
      </c>
    </row>
    <row r="72" spans="1:5" x14ac:dyDescent="0.3">
      <c r="A72" s="1">
        <v>0.252</v>
      </c>
      <c r="B72" s="1">
        <v>34.08</v>
      </c>
      <c r="D72" s="1">
        <v>0.252</v>
      </c>
      <c r="E72" s="1">
        <v>132.1</v>
      </c>
    </row>
    <row r="73" spans="1:5" x14ac:dyDescent="0.3">
      <c r="A73" s="1">
        <v>0.25559999999999999</v>
      </c>
      <c r="B73" s="1">
        <v>34.700000000000003</v>
      </c>
      <c r="D73" s="1">
        <v>0.25559999999999999</v>
      </c>
      <c r="E73" s="1">
        <v>134.30000000000001</v>
      </c>
    </row>
    <row r="74" spans="1:5" x14ac:dyDescent="0.3">
      <c r="A74" s="1">
        <v>0.25919999999999999</v>
      </c>
      <c r="B74" s="1">
        <v>35.31</v>
      </c>
      <c r="D74" s="1">
        <v>0.25919999999999999</v>
      </c>
      <c r="E74" s="1">
        <v>136.5</v>
      </c>
    </row>
    <row r="75" spans="1:5" x14ac:dyDescent="0.3">
      <c r="A75" s="1">
        <v>0.26279999999999998</v>
      </c>
      <c r="B75" s="1">
        <v>35.909999999999997</v>
      </c>
      <c r="D75" s="1">
        <v>0.26279999999999998</v>
      </c>
      <c r="E75" s="1">
        <v>138.6</v>
      </c>
    </row>
    <row r="76" spans="1:5" x14ac:dyDescent="0.3">
      <c r="A76" s="1">
        <v>0.26640000000000003</v>
      </c>
      <c r="B76" s="1">
        <v>36.5</v>
      </c>
      <c r="D76" s="1">
        <v>0.26640000000000003</v>
      </c>
      <c r="E76" s="1">
        <v>140.6</v>
      </c>
    </row>
    <row r="77" spans="1:5" x14ac:dyDescent="0.3">
      <c r="A77" s="1">
        <v>0.27</v>
      </c>
      <c r="B77" s="1">
        <v>37.08</v>
      </c>
      <c r="D77" s="1">
        <v>0.27</v>
      </c>
      <c r="E77" s="1">
        <v>142.6</v>
      </c>
    </row>
    <row r="78" spans="1:5" x14ac:dyDescent="0.3">
      <c r="A78" s="1">
        <v>0.27360000000000001</v>
      </c>
      <c r="B78" s="1">
        <v>37.64</v>
      </c>
      <c r="D78" s="1">
        <v>0.27360000000000001</v>
      </c>
      <c r="E78" s="1">
        <v>144.6</v>
      </c>
    </row>
    <row r="79" spans="1:5" x14ac:dyDescent="0.3">
      <c r="A79" s="1">
        <v>0.2772</v>
      </c>
      <c r="B79" s="1">
        <v>38.200000000000003</v>
      </c>
      <c r="D79" s="1">
        <v>0.2772</v>
      </c>
      <c r="E79" s="1">
        <v>146.5</v>
      </c>
    </row>
    <row r="80" spans="1:5" x14ac:dyDescent="0.3">
      <c r="A80" s="1">
        <v>0.28079999999999999</v>
      </c>
      <c r="B80" s="1">
        <v>38.75</v>
      </c>
      <c r="D80" s="1">
        <v>0.28079999999999999</v>
      </c>
      <c r="E80" s="1">
        <v>148.4</v>
      </c>
    </row>
    <row r="81" spans="1:5" x14ac:dyDescent="0.3">
      <c r="A81" s="1">
        <v>0.28439999999999999</v>
      </c>
      <c r="B81" s="1">
        <v>39.29</v>
      </c>
      <c r="D81" s="1">
        <v>0.28439999999999999</v>
      </c>
      <c r="E81" s="1">
        <v>150.19999999999999</v>
      </c>
    </row>
    <row r="82" spans="1:5" x14ac:dyDescent="0.3">
      <c r="A82" s="1">
        <v>0.28799999999999998</v>
      </c>
      <c r="B82" s="1">
        <v>39.81</v>
      </c>
      <c r="D82" s="1">
        <v>0.28799999999999998</v>
      </c>
      <c r="E82" s="1">
        <v>152</v>
      </c>
    </row>
    <row r="83" spans="1:5" x14ac:dyDescent="0.3">
      <c r="A83" s="1">
        <v>0.29160000000000003</v>
      </c>
      <c r="B83" s="1">
        <v>40.33</v>
      </c>
      <c r="D83" s="1">
        <v>0.29160000000000003</v>
      </c>
      <c r="E83" s="1">
        <v>153.69999999999999</v>
      </c>
    </row>
    <row r="84" spans="1:5" x14ac:dyDescent="0.3">
      <c r="A84" s="1">
        <v>0.29520000000000002</v>
      </c>
      <c r="B84" s="1">
        <v>40.83</v>
      </c>
      <c r="D84" s="1">
        <v>0.29520000000000002</v>
      </c>
      <c r="E84" s="1">
        <v>155.4</v>
      </c>
    </row>
    <row r="85" spans="1:5" x14ac:dyDescent="0.3">
      <c r="A85" s="1">
        <v>0.29880000000000001</v>
      </c>
      <c r="B85" s="1">
        <v>41.32</v>
      </c>
      <c r="D85" s="1">
        <v>0.29880000000000001</v>
      </c>
      <c r="E85" s="1">
        <v>157</v>
      </c>
    </row>
    <row r="86" spans="1:5" x14ac:dyDescent="0.3">
      <c r="A86" s="1">
        <v>0.3024</v>
      </c>
      <c r="B86" s="1">
        <v>41.8</v>
      </c>
      <c r="D86" s="1">
        <v>0.3024</v>
      </c>
      <c r="E86" s="1">
        <v>158.6</v>
      </c>
    </row>
    <row r="87" spans="1:5" x14ac:dyDescent="0.3">
      <c r="A87" s="1">
        <v>0.30599999999999999</v>
      </c>
      <c r="B87" s="1">
        <v>42.27</v>
      </c>
      <c r="D87" s="1">
        <v>0.30599999999999999</v>
      </c>
      <c r="E87" s="1">
        <v>160.1</v>
      </c>
    </row>
    <row r="88" spans="1:5" x14ac:dyDescent="0.3">
      <c r="A88" s="1">
        <v>0.30959999999999999</v>
      </c>
      <c r="B88" s="1">
        <v>42.73</v>
      </c>
      <c r="D88" s="1">
        <v>0.30959999999999999</v>
      </c>
      <c r="E88" s="1">
        <v>161.6</v>
      </c>
    </row>
    <row r="89" spans="1:5" x14ac:dyDescent="0.3">
      <c r="A89" s="1">
        <v>0.31319999999999998</v>
      </c>
      <c r="B89" s="1">
        <v>43.18</v>
      </c>
      <c r="D89" s="1">
        <v>0.31319999999999998</v>
      </c>
      <c r="E89" s="1">
        <v>163</v>
      </c>
    </row>
    <row r="90" spans="1:5" x14ac:dyDescent="0.3">
      <c r="A90" s="1">
        <v>0.31680000000000003</v>
      </c>
      <c r="B90" s="1">
        <v>43.62</v>
      </c>
      <c r="D90" s="1">
        <v>0.31680000000000003</v>
      </c>
      <c r="E90" s="1">
        <v>164.4</v>
      </c>
    </row>
    <row r="91" spans="1:5" x14ac:dyDescent="0.3">
      <c r="A91" s="1">
        <v>0.32040000000000002</v>
      </c>
      <c r="B91" s="1">
        <v>44.04</v>
      </c>
      <c r="D91" s="1">
        <v>0.32040000000000002</v>
      </c>
      <c r="E91" s="1">
        <v>165.7</v>
      </c>
    </row>
    <row r="92" spans="1:5" x14ac:dyDescent="0.3">
      <c r="A92" s="1">
        <v>0.32400000000000001</v>
      </c>
      <c r="B92" s="1">
        <v>44.46</v>
      </c>
      <c r="D92" s="1">
        <v>0.32400000000000001</v>
      </c>
      <c r="E92" s="1">
        <v>167</v>
      </c>
    </row>
    <row r="93" spans="1:5" x14ac:dyDescent="0.3">
      <c r="A93" s="1">
        <v>0.3276</v>
      </c>
      <c r="B93" s="1">
        <v>44.86</v>
      </c>
      <c r="D93" s="1">
        <v>0.3276</v>
      </c>
      <c r="E93" s="1">
        <v>168.2</v>
      </c>
    </row>
    <row r="94" spans="1:5" x14ac:dyDescent="0.3">
      <c r="A94" s="1">
        <v>0.33119999999999999</v>
      </c>
      <c r="B94" s="1">
        <v>45.26</v>
      </c>
      <c r="D94" s="1">
        <v>0.33119999999999999</v>
      </c>
      <c r="E94" s="1">
        <v>169.4</v>
      </c>
    </row>
    <row r="95" spans="1:5" x14ac:dyDescent="0.3">
      <c r="A95" s="1">
        <v>0.33479999999999999</v>
      </c>
      <c r="B95" s="1">
        <v>45.64</v>
      </c>
      <c r="D95" s="1">
        <v>0.33479999999999999</v>
      </c>
      <c r="E95" s="1">
        <v>170.5</v>
      </c>
    </row>
    <row r="96" spans="1:5" x14ac:dyDescent="0.3">
      <c r="A96" s="1">
        <v>0.33839999999999998</v>
      </c>
      <c r="B96" s="1">
        <v>46.01</v>
      </c>
      <c r="D96" s="1">
        <v>0.33839999999999998</v>
      </c>
      <c r="E96" s="1">
        <v>171.6</v>
      </c>
    </row>
    <row r="97" spans="1:5" x14ac:dyDescent="0.3">
      <c r="A97" s="1">
        <v>0.34200000000000003</v>
      </c>
      <c r="B97" s="1">
        <v>46.37</v>
      </c>
      <c r="D97" s="1">
        <v>0.34200000000000003</v>
      </c>
      <c r="E97" s="1">
        <v>172.6</v>
      </c>
    </row>
    <row r="98" spans="1:5" x14ac:dyDescent="0.3">
      <c r="A98" s="1">
        <v>0.34560000000000002</v>
      </c>
      <c r="B98" s="1">
        <v>46.72</v>
      </c>
      <c r="D98" s="1">
        <v>0.34560000000000002</v>
      </c>
      <c r="E98" s="1">
        <v>173.6</v>
      </c>
    </row>
    <row r="99" spans="1:5" x14ac:dyDescent="0.3">
      <c r="A99" s="1">
        <v>0.34920000000000001</v>
      </c>
      <c r="B99" s="1">
        <v>47.06</v>
      </c>
      <c r="D99" s="1">
        <v>0.34920000000000001</v>
      </c>
      <c r="E99" s="1">
        <v>174.6</v>
      </c>
    </row>
    <row r="100" spans="1:5" x14ac:dyDescent="0.3">
      <c r="A100" s="1">
        <v>0.3528</v>
      </c>
      <c r="B100" s="1">
        <v>47.39</v>
      </c>
      <c r="D100" s="1">
        <v>0.3528</v>
      </c>
      <c r="E100" s="1">
        <v>175.5</v>
      </c>
    </row>
    <row r="101" spans="1:5" x14ac:dyDescent="0.3">
      <c r="A101" s="1">
        <v>0.35639999999999999</v>
      </c>
      <c r="B101" s="1">
        <v>47.71</v>
      </c>
      <c r="D101" s="1">
        <v>0.35639999999999999</v>
      </c>
      <c r="E101" s="1">
        <v>176.4</v>
      </c>
    </row>
    <row r="102" spans="1:5" x14ac:dyDescent="0.3">
      <c r="A102" s="1">
        <v>0.36</v>
      </c>
      <c r="B102" s="1">
        <v>48.02</v>
      </c>
      <c r="D102" s="1">
        <v>0.36</v>
      </c>
      <c r="E102" s="1">
        <v>177.2</v>
      </c>
    </row>
    <row r="103" spans="1:5" x14ac:dyDescent="0.3">
      <c r="A103" s="1">
        <v>0.36359999999999998</v>
      </c>
      <c r="B103" s="1">
        <v>48.32</v>
      </c>
      <c r="D103" s="1">
        <v>0.36359999999999998</v>
      </c>
      <c r="E103" s="1">
        <v>178</v>
      </c>
    </row>
    <row r="104" spans="1:5" x14ac:dyDescent="0.3">
      <c r="A104" s="1">
        <v>0.36720000000000003</v>
      </c>
      <c r="B104" s="1">
        <v>48.61</v>
      </c>
      <c r="D104" s="1">
        <v>0.36720000000000003</v>
      </c>
      <c r="E104" s="1">
        <v>178.7</v>
      </c>
    </row>
    <row r="105" spans="1:5" x14ac:dyDescent="0.3">
      <c r="A105" s="1">
        <v>0.37080000000000002</v>
      </c>
      <c r="B105" s="1">
        <v>48.89</v>
      </c>
      <c r="D105" s="1">
        <v>0.37080000000000002</v>
      </c>
      <c r="E105" s="1">
        <v>179.4</v>
      </c>
    </row>
    <row r="106" spans="1:5" x14ac:dyDescent="0.3">
      <c r="A106" s="1">
        <v>0.37440000000000001</v>
      </c>
      <c r="B106" s="1">
        <v>49.17</v>
      </c>
      <c r="D106" s="1">
        <v>0.37440000000000001</v>
      </c>
      <c r="E106" s="1">
        <v>180.1</v>
      </c>
    </row>
    <row r="107" spans="1:5" x14ac:dyDescent="0.3">
      <c r="A107" s="1">
        <v>0.378</v>
      </c>
      <c r="B107" s="1">
        <v>49.43</v>
      </c>
      <c r="D107" s="1">
        <v>0.378</v>
      </c>
      <c r="E107" s="1">
        <v>180.8</v>
      </c>
    </row>
    <row r="108" spans="1:5" x14ac:dyDescent="0.3">
      <c r="A108" s="1">
        <v>0.38159999999999999</v>
      </c>
      <c r="B108" s="1">
        <v>49.69</v>
      </c>
      <c r="D108" s="1">
        <v>0.38159999999999999</v>
      </c>
      <c r="E108" s="1">
        <v>181.4</v>
      </c>
    </row>
    <row r="109" spans="1:5" x14ac:dyDescent="0.3">
      <c r="A109" s="1">
        <v>0.38519999999999999</v>
      </c>
      <c r="B109" s="1">
        <v>49.93</v>
      </c>
      <c r="D109" s="1">
        <v>0.38519999999999999</v>
      </c>
      <c r="E109" s="1">
        <v>181.9</v>
      </c>
    </row>
    <row r="110" spans="1:5" x14ac:dyDescent="0.3">
      <c r="A110" s="1">
        <v>0.38879999999999998</v>
      </c>
      <c r="B110" s="1">
        <v>50.17</v>
      </c>
      <c r="D110" s="1">
        <v>0.38879999999999998</v>
      </c>
      <c r="E110" s="1">
        <v>182.4</v>
      </c>
    </row>
    <row r="111" spans="1:5" x14ac:dyDescent="0.3">
      <c r="A111" s="1">
        <v>0.39240000000000003</v>
      </c>
      <c r="B111" s="1">
        <v>50.4</v>
      </c>
      <c r="D111" s="1">
        <v>0.39240000000000003</v>
      </c>
      <c r="E111" s="1">
        <v>182.9</v>
      </c>
    </row>
    <row r="112" spans="1:5" x14ac:dyDescent="0.3">
      <c r="A112" s="1">
        <v>0.39600000000000002</v>
      </c>
      <c r="B112" s="1">
        <v>50.62</v>
      </c>
      <c r="D112" s="1">
        <v>0.39600000000000002</v>
      </c>
      <c r="E112" s="1">
        <v>183.4</v>
      </c>
    </row>
    <row r="113" spans="1:5" x14ac:dyDescent="0.3">
      <c r="A113" s="1">
        <v>0.39960000000000001</v>
      </c>
      <c r="B113" s="1">
        <v>50.84</v>
      </c>
      <c r="D113" s="1">
        <v>0.39960000000000001</v>
      </c>
      <c r="E113" s="1">
        <v>183.9</v>
      </c>
    </row>
    <row r="114" spans="1:5" x14ac:dyDescent="0.3">
      <c r="A114" s="1">
        <v>0.4032</v>
      </c>
      <c r="B114" s="1">
        <v>51.05</v>
      </c>
      <c r="D114" s="1">
        <v>0.4032</v>
      </c>
      <c r="E114" s="1">
        <v>184.3</v>
      </c>
    </row>
    <row r="115" spans="1:5" x14ac:dyDescent="0.3">
      <c r="A115" s="1">
        <v>0.40679999999999999</v>
      </c>
      <c r="B115" s="1">
        <v>51.25</v>
      </c>
      <c r="D115" s="1">
        <v>0.40679999999999999</v>
      </c>
      <c r="E115" s="1">
        <v>184.6</v>
      </c>
    </row>
    <row r="116" spans="1:5" x14ac:dyDescent="0.3">
      <c r="A116" s="1">
        <v>0.41039999999999999</v>
      </c>
      <c r="B116" s="1">
        <v>51.44</v>
      </c>
      <c r="D116" s="1">
        <v>0.41039999999999999</v>
      </c>
      <c r="E116" s="1">
        <v>185</v>
      </c>
    </row>
    <row r="117" spans="1:5" x14ac:dyDescent="0.3">
      <c r="A117" s="1">
        <v>0.41399999999999998</v>
      </c>
      <c r="B117" s="1">
        <v>51.63</v>
      </c>
      <c r="D117" s="1">
        <v>0.41399999999999998</v>
      </c>
      <c r="E117" s="1">
        <v>185.3</v>
      </c>
    </row>
    <row r="118" spans="1:5" x14ac:dyDescent="0.3">
      <c r="A118" s="1">
        <v>0.41760000000000003</v>
      </c>
      <c r="B118" s="1">
        <v>51.81</v>
      </c>
      <c r="D118" s="1">
        <v>0.41760000000000003</v>
      </c>
      <c r="E118" s="1">
        <v>185.6</v>
      </c>
    </row>
    <row r="119" spans="1:5" x14ac:dyDescent="0.3">
      <c r="A119" s="1">
        <v>0.42120000000000002</v>
      </c>
      <c r="B119" s="1">
        <v>51.98</v>
      </c>
      <c r="D119" s="1">
        <v>0.42120000000000002</v>
      </c>
      <c r="E119" s="1">
        <v>185.9</v>
      </c>
    </row>
    <row r="120" spans="1:5" x14ac:dyDescent="0.3">
      <c r="A120" s="1">
        <v>0.42480000000000001</v>
      </c>
      <c r="B120" s="1">
        <v>52.15</v>
      </c>
      <c r="D120" s="1">
        <v>0.42480000000000001</v>
      </c>
      <c r="E120" s="1">
        <v>186.2</v>
      </c>
    </row>
    <row r="121" spans="1:5" x14ac:dyDescent="0.3">
      <c r="A121" s="1">
        <v>0.4284</v>
      </c>
      <c r="B121" s="1">
        <v>52.31</v>
      </c>
      <c r="D121" s="1">
        <v>0.4284</v>
      </c>
      <c r="E121" s="1">
        <v>186.4</v>
      </c>
    </row>
    <row r="122" spans="1:5" x14ac:dyDescent="0.3">
      <c r="A122" s="1">
        <v>0.432</v>
      </c>
      <c r="B122" s="1">
        <v>52.47</v>
      </c>
      <c r="D122" s="1">
        <v>0.432</v>
      </c>
      <c r="E122" s="1">
        <v>186.6</v>
      </c>
    </row>
    <row r="123" spans="1:5" x14ac:dyDescent="0.3">
      <c r="A123" s="1">
        <v>0.43559999999999999</v>
      </c>
      <c r="B123" s="1">
        <v>52.62</v>
      </c>
      <c r="D123" s="1">
        <v>0.43559999999999999</v>
      </c>
      <c r="E123" s="1">
        <v>186.9</v>
      </c>
    </row>
    <row r="124" spans="1:5" x14ac:dyDescent="0.3">
      <c r="A124" s="1">
        <v>0.43919999999999998</v>
      </c>
      <c r="B124" s="1">
        <v>52.77</v>
      </c>
      <c r="D124" s="1">
        <v>0.43919999999999998</v>
      </c>
      <c r="E124" s="1">
        <v>187</v>
      </c>
    </row>
    <row r="125" spans="1:5" x14ac:dyDescent="0.3">
      <c r="A125" s="1">
        <v>0.44280000000000003</v>
      </c>
      <c r="B125" s="1">
        <v>52.91</v>
      </c>
      <c r="D125" s="1">
        <v>0.44280000000000003</v>
      </c>
      <c r="E125" s="1">
        <v>187.2</v>
      </c>
    </row>
    <row r="126" spans="1:5" x14ac:dyDescent="0.3">
      <c r="A126" s="1">
        <v>0.44640000000000002</v>
      </c>
      <c r="B126" s="1">
        <v>53.05</v>
      </c>
      <c r="D126" s="1">
        <v>0.44640000000000002</v>
      </c>
      <c r="E126" s="1">
        <v>187.4</v>
      </c>
    </row>
    <row r="127" spans="1:5" x14ac:dyDescent="0.3">
      <c r="A127" s="1">
        <v>0.45</v>
      </c>
      <c r="B127" s="1">
        <v>53.18</v>
      </c>
      <c r="D127" s="1">
        <v>0.45</v>
      </c>
      <c r="E127" s="1">
        <v>187.5</v>
      </c>
    </row>
    <row r="128" spans="1:5" x14ac:dyDescent="0.3">
      <c r="A128" s="1">
        <v>0.4536</v>
      </c>
      <c r="B128" s="1">
        <v>53.31</v>
      </c>
      <c r="D128" s="1">
        <v>0.4536</v>
      </c>
      <c r="E128" s="1">
        <v>187.6</v>
      </c>
    </row>
    <row r="129" spans="1:5" x14ac:dyDescent="0.3">
      <c r="A129" s="1">
        <v>0.4572</v>
      </c>
      <c r="B129" s="1">
        <v>53.44</v>
      </c>
      <c r="D129" s="1">
        <v>0.4572</v>
      </c>
      <c r="E129" s="1">
        <v>187.8</v>
      </c>
    </row>
    <row r="130" spans="1:5" x14ac:dyDescent="0.3">
      <c r="A130" s="1">
        <v>0.46079999999999999</v>
      </c>
      <c r="B130" s="1">
        <v>53.56</v>
      </c>
      <c r="D130" s="1">
        <v>0.46079999999999999</v>
      </c>
      <c r="E130" s="1">
        <v>187.9</v>
      </c>
    </row>
    <row r="131" spans="1:5" x14ac:dyDescent="0.3">
      <c r="A131" s="1">
        <v>0.46439999999999998</v>
      </c>
      <c r="B131" s="1">
        <v>53.67</v>
      </c>
      <c r="D131" s="1">
        <v>0.46439999999999998</v>
      </c>
      <c r="E131" s="1">
        <v>188</v>
      </c>
    </row>
    <row r="132" spans="1:5" x14ac:dyDescent="0.3">
      <c r="A132" s="1">
        <v>0.46800000000000003</v>
      </c>
      <c r="B132" s="1">
        <v>53.79</v>
      </c>
      <c r="D132" s="1">
        <v>0.46800000000000003</v>
      </c>
      <c r="E132" s="1">
        <v>188</v>
      </c>
    </row>
    <row r="133" spans="1:5" x14ac:dyDescent="0.3">
      <c r="A133" s="1">
        <v>0.47160000000000002</v>
      </c>
      <c r="B133" s="1">
        <v>53.9</v>
      </c>
      <c r="D133" s="1">
        <v>0.47160000000000002</v>
      </c>
      <c r="E133" s="1">
        <v>188.1</v>
      </c>
    </row>
    <row r="134" spans="1:5" x14ac:dyDescent="0.3">
      <c r="A134" s="1">
        <v>0.47520000000000001</v>
      </c>
      <c r="B134" s="1">
        <v>54.01</v>
      </c>
      <c r="D134" s="1">
        <v>0.47520000000000001</v>
      </c>
      <c r="E134" s="1">
        <v>188.2</v>
      </c>
    </row>
    <row r="135" spans="1:5" x14ac:dyDescent="0.3">
      <c r="A135" s="1">
        <v>0.4788</v>
      </c>
      <c r="B135" s="1">
        <v>54.11</v>
      </c>
      <c r="D135" s="1">
        <v>0.4788</v>
      </c>
      <c r="E135" s="1">
        <v>188.3</v>
      </c>
    </row>
    <row r="136" spans="1:5" x14ac:dyDescent="0.3">
      <c r="A136" s="1">
        <v>0.4824</v>
      </c>
      <c r="B136" s="1">
        <v>54.21</v>
      </c>
      <c r="D136" s="1">
        <v>0.4824</v>
      </c>
      <c r="E136" s="1">
        <v>188.3</v>
      </c>
    </row>
    <row r="137" spans="1:5" x14ac:dyDescent="0.3">
      <c r="A137" s="1">
        <v>0.48599999999999999</v>
      </c>
      <c r="B137" s="1">
        <v>54.31</v>
      </c>
      <c r="D137" s="1">
        <v>0.48599999999999999</v>
      </c>
      <c r="E137" s="1">
        <v>188.4</v>
      </c>
    </row>
    <row r="138" spans="1:5" x14ac:dyDescent="0.3">
      <c r="A138" s="1">
        <v>0.48959999999999998</v>
      </c>
      <c r="B138" s="1">
        <v>54.41</v>
      </c>
      <c r="D138" s="1">
        <v>0.48959999999999998</v>
      </c>
      <c r="E138" s="1">
        <v>188.5</v>
      </c>
    </row>
    <row r="139" spans="1:5" x14ac:dyDescent="0.3">
      <c r="A139" s="1">
        <v>0.49320000000000003</v>
      </c>
      <c r="B139" s="1">
        <v>54.51</v>
      </c>
      <c r="D139" s="1">
        <v>0.49320000000000003</v>
      </c>
      <c r="E139" s="1">
        <v>188.5</v>
      </c>
    </row>
    <row r="140" spans="1:5" x14ac:dyDescent="0.3">
      <c r="A140" s="1">
        <v>0.49680000000000002</v>
      </c>
      <c r="B140" s="1">
        <v>54.6</v>
      </c>
      <c r="D140" s="1">
        <v>0.49680000000000002</v>
      </c>
      <c r="E140" s="1">
        <v>188.6</v>
      </c>
    </row>
    <row r="141" spans="1:5" x14ac:dyDescent="0.3">
      <c r="A141" s="1">
        <v>0.50039999999999996</v>
      </c>
      <c r="B141" s="1">
        <v>54.69</v>
      </c>
      <c r="D141" s="1">
        <v>0.50039999999999996</v>
      </c>
      <c r="E141" s="1">
        <v>188.6</v>
      </c>
    </row>
    <row r="142" spans="1:5" x14ac:dyDescent="0.3">
      <c r="A142" s="1">
        <v>0.504</v>
      </c>
      <c r="B142" s="1">
        <v>54.78</v>
      </c>
      <c r="D142" s="1">
        <v>0.504</v>
      </c>
      <c r="E142" s="1">
        <v>188.7</v>
      </c>
    </row>
    <row r="143" spans="1:5" x14ac:dyDescent="0.3">
      <c r="A143" s="1">
        <v>0.50760000000000005</v>
      </c>
      <c r="B143" s="1">
        <v>54.87</v>
      </c>
      <c r="D143" s="1">
        <v>0.50760000000000005</v>
      </c>
      <c r="E143" s="1">
        <v>188.7</v>
      </c>
    </row>
    <row r="144" spans="1:5" x14ac:dyDescent="0.3">
      <c r="A144" s="1">
        <v>0.51119999999999999</v>
      </c>
      <c r="B144" s="1">
        <v>54.96</v>
      </c>
      <c r="D144" s="1">
        <v>0.51119999999999999</v>
      </c>
      <c r="E144" s="1">
        <v>188.8</v>
      </c>
    </row>
    <row r="145" spans="1:5" x14ac:dyDescent="0.3">
      <c r="A145" s="1">
        <v>0.51480000000000004</v>
      </c>
      <c r="B145" s="1">
        <v>55.05</v>
      </c>
      <c r="D145" s="1">
        <v>0.51480000000000004</v>
      </c>
      <c r="E145" s="1">
        <v>188.9</v>
      </c>
    </row>
    <row r="146" spans="1:5" x14ac:dyDescent="0.3">
      <c r="A146" s="1">
        <v>0.51839999999999997</v>
      </c>
      <c r="B146" s="1">
        <v>55.13</v>
      </c>
      <c r="D146" s="1">
        <v>0.51839999999999997</v>
      </c>
      <c r="E146" s="1">
        <v>188.9</v>
      </c>
    </row>
    <row r="147" spans="1:5" x14ac:dyDescent="0.3">
      <c r="A147" s="1">
        <v>0.52200000000000002</v>
      </c>
      <c r="B147" s="1">
        <v>55.22</v>
      </c>
      <c r="D147" s="1">
        <v>0.52200000000000002</v>
      </c>
      <c r="E147" s="1">
        <v>189</v>
      </c>
    </row>
    <row r="148" spans="1:5" x14ac:dyDescent="0.3">
      <c r="A148" s="1">
        <v>0.52559999999999996</v>
      </c>
      <c r="B148" s="1">
        <v>55.3</v>
      </c>
      <c r="D148" s="1">
        <v>0.52559999999999996</v>
      </c>
      <c r="E148" s="1">
        <v>189.1</v>
      </c>
    </row>
    <row r="149" spans="1:5" x14ac:dyDescent="0.3">
      <c r="A149" s="1">
        <v>0.5292</v>
      </c>
      <c r="B149" s="1">
        <v>55.39</v>
      </c>
      <c r="D149" s="1">
        <v>0.5292</v>
      </c>
      <c r="E149" s="1">
        <v>189.1</v>
      </c>
    </row>
    <row r="150" spans="1:5" x14ac:dyDescent="0.3">
      <c r="A150" s="1">
        <v>0.53280000000000005</v>
      </c>
      <c r="B150" s="1">
        <v>55.47</v>
      </c>
      <c r="D150" s="1">
        <v>0.53280000000000005</v>
      </c>
      <c r="E150" s="1">
        <v>189.2</v>
      </c>
    </row>
    <row r="151" spans="1:5" x14ac:dyDescent="0.3">
      <c r="A151" s="1">
        <v>0.53639999999999999</v>
      </c>
      <c r="B151" s="1">
        <v>55.55</v>
      </c>
      <c r="D151" s="1">
        <v>0.53639999999999999</v>
      </c>
      <c r="E151" s="1">
        <v>189.3</v>
      </c>
    </row>
    <row r="152" spans="1:5" x14ac:dyDescent="0.3">
      <c r="A152" s="1">
        <v>0.54</v>
      </c>
      <c r="B152" s="1">
        <v>55.63</v>
      </c>
      <c r="D152" s="1">
        <v>0.54</v>
      </c>
      <c r="E152" s="1">
        <v>189.4</v>
      </c>
    </row>
    <row r="153" spans="1:5" x14ac:dyDescent="0.3">
      <c r="A153" s="1">
        <v>0.54359999999999997</v>
      </c>
      <c r="B153" s="1">
        <v>55.72</v>
      </c>
      <c r="D153" s="1">
        <v>0.54359999999999997</v>
      </c>
      <c r="E153" s="1">
        <v>189.5</v>
      </c>
    </row>
    <row r="154" spans="1:5" x14ac:dyDescent="0.3">
      <c r="A154" s="1">
        <v>0.54720000000000002</v>
      </c>
      <c r="B154" s="1">
        <v>55.8</v>
      </c>
      <c r="D154" s="1">
        <v>0.54720000000000002</v>
      </c>
      <c r="E154" s="1">
        <v>189.6</v>
      </c>
    </row>
    <row r="155" spans="1:5" x14ac:dyDescent="0.3">
      <c r="A155" s="1">
        <v>0.55079999999999996</v>
      </c>
      <c r="B155" s="1">
        <v>55.88</v>
      </c>
      <c r="D155" s="1">
        <v>0.55079999999999996</v>
      </c>
      <c r="E155" s="1">
        <v>189.7</v>
      </c>
    </row>
    <row r="156" spans="1:5" x14ac:dyDescent="0.3">
      <c r="A156" s="1">
        <v>0.5544</v>
      </c>
      <c r="B156" s="1">
        <v>55.96</v>
      </c>
      <c r="D156" s="1">
        <v>0.5544</v>
      </c>
      <c r="E156" s="1">
        <v>189.8</v>
      </c>
    </row>
    <row r="157" spans="1:5" x14ac:dyDescent="0.3">
      <c r="A157" s="1">
        <v>0.55800000000000005</v>
      </c>
      <c r="B157" s="1">
        <v>56.04</v>
      </c>
      <c r="D157" s="1">
        <v>0.55800000000000005</v>
      </c>
      <c r="E157" s="1">
        <v>190</v>
      </c>
    </row>
    <row r="158" spans="1:5" x14ac:dyDescent="0.3">
      <c r="A158" s="1">
        <v>0.56159999999999999</v>
      </c>
      <c r="B158" s="1">
        <v>56.13</v>
      </c>
      <c r="D158" s="1">
        <v>0.56159999999999999</v>
      </c>
      <c r="E158" s="1">
        <v>190.1</v>
      </c>
    </row>
    <row r="159" spans="1:5" x14ac:dyDescent="0.3">
      <c r="A159" s="1">
        <v>0.56520000000000004</v>
      </c>
      <c r="B159" s="1">
        <v>56.21</v>
      </c>
      <c r="D159" s="1">
        <v>0.56520000000000004</v>
      </c>
      <c r="E159" s="1">
        <v>190.3</v>
      </c>
    </row>
    <row r="160" spans="1:5" x14ac:dyDescent="0.3">
      <c r="A160" s="1">
        <v>0.56879999999999997</v>
      </c>
      <c r="B160" s="1">
        <v>56.29</v>
      </c>
      <c r="D160" s="1">
        <v>0.56879999999999997</v>
      </c>
      <c r="E160" s="1">
        <v>190.4</v>
      </c>
    </row>
    <row r="161" spans="1:5" x14ac:dyDescent="0.3">
      <c r="A161" s="1">
        <v>0.57240000000000002</v>
      </c>
      <c r="B161" s="1">
        <v>56.37</v>
      </c>
      <c r="D161" s="1">
        <v>0.57240000000000002</v>
      </c>
      <c r="E161" s="1">
        <v>190.6</v>
      </c>
    </row>
    <row r="162" spans="1:5" x14ac:dyDescent="0.3">
      <c r="A162" s="1">
        <v>0.57599999999999996</v>
      </c>
      <c r="B162" s="1">
        <v>56.46</v>
      </c>
      <c r="D162" s="1">
        <v>0.57599999999999996</v>
      </c>
      <c r="E162" s="1">
        <v>190.8</v>
      </c>
    </row>
    <row r="163" spans="1:5" x14ac:dyDescent="0.3">
      <c r="A163" s="1">
        <v>0.5796</v>
      </c>
      <c r="B163" s="1">
        <v>56.54</v>
      </c>
      <c r="D163" s="1">
        <v>0.5796</v>
      </c>
      <c r="E163" s="1">
        <v>190.9</v>
      </c>
    </row>
    <row r="164" spans="1:5" x14ac:dyDescent="0.3">
      <c r="A164" s="1">
        <v>0.58320000000000005</v>
      </c>
      <c r="B164" s="1">
        <v>56.63</v>
      </c>
      <c r="D164" s="1">
        <v>0.58320000000000005</v>
      </c>
      <c r="E164" s="1">
        <v>191.1</v>
      </c>
    </row>
    <row r="165" spans="1:5" x14ac:dyDescent="0.3">
      <c r="A165" s="1">
        <v>0.58679999999999999</v>
      </c>
      <c r="B165" s="1">
        <v>56.71</v>
      </c>
      <c r="D165" s="1">
        <v>0.58679999999999999</v>
      </c>
      <c r="E165" s="1">
        <v>191.3</v>
      </c>
    </row>
    <row r="166" spans="1:5" x14ac:dyDescent="0.3">
      <c r="A166" s="1">
        <v>0.59040000000000004</v>
      </c>
      <c r="B166" s="1">
        <v>56.8</v>
      </c>
      <c r="D166" s="1">
        <v>0.59040000000000004</v>
      </c>
      <c r="E166" s="1">
        <v>191.5</v>
      </c>
    </row>
    <row r="167" spans="1:5" x14ac:dyDescent="0.3">
      <c r="A167" s="1">
        <v>0.59399999999999997</v>
      </c>
      <c r="B167" s="1">
        <v>56.88</v>
      </c>
      <c r="D167" s="1">
        <v>0.59399999999999997</v>
      </c>
      <c r="E167" s="1">
        <v>191.8</v>
      </c>
    </row>
    <row r="168" spans="1:5" x14ac:dyDescent="0.3">
      <c r="A168" s="1">
        <v>0.59760000000000002</v>
      </c>
      <c r="B168" s="1">
        <v>56.97</v>
      </c>
      <c r="D168" s="1">
        <v>0.59760000000000002</v>
      </c>
      <c r="E168" s="1">
        <v>192</v>
      </c>
    </row>
    <row r="169" spans="1:5" x14ac:dyDescent="0.3">
      <c r="A169" s="1">
        <v>0.60119999999999996</v>
      </c>
      <c r="B169" s="1">
        <v>57.06</v>
      </c>
      <c r="D169" s="1">
        <v>0.60119999999999996</v>
      </c>
      <c r="E169" s="1">
        <v>192.2</v>
      </c>
    </row>
    <row r="170" spans="1:5" x14ac:dyDescent="0.3">
      <c r="A170" s="1">
        <v>0.6048</v>
      </c>
      <c r="B170" s="1">
        <v>57.15</v>
      </c>
      <c r="D170" s="1">
        <v>0.6048</v>
      </c>
      <c r="E170" s="1">
        <v>192.5</v>
      </c>
    </row>
    <row r="171" spans="1:5" x14ac:dyDescent="0.3">
      <c r="A171" s="1">
        <v>0.60840000000000005</v>
      </c>
      <c r="B171" s="1">
        <v>57.24</v>
      </c>
      <c r="D171" s="1">
        <v>0.60840000000000005</v>
      </c>
      <c r="E171" s="1">
        <v>192.7</v>
      </c>
    </row>
    <row r="172" spans="1:5" x14ac:dyDescent="0.3">
      <c r="A172" s="1">
        <v>0.61199999999999999</v>
      </c>
      <c r="B172" s="1">
        <v>57.33</v>
      </c>
      <c r="D172" s="1">
        <v>0.61199999999999999</v>
      </c>
      <c r="E172" s="1">
        <v>193</v>
      </c>
    </row>
    <row r="173" spans="1:5" x14ac:dyDescent="0.3">
      <c r="A173" s="1">
        <v>0.61560000000000004</v>
      </c>
      <c r="B173" s="1">
        <v>57.42</v>
      </c>
      <c r="D173" s="1">
        <v>0.61560000000000004</v>
      </c>
      <c r="E173" s="1">
        <v>193.3</v>
      </c>
    </row>
    <row r="174" spans="1:5" x14ac:dyDescent="0.3">
      <c r="A174" s="1">
        <v>0.61919999999999997</v>
      </c>
      <c r="B174" s="1">
        <v>57.51</v>
      </c>
      <c r="D174" s="1">
        <v>0.61919999999999997</v>
      </c>
      <c r="E174" s="1">
        <v>193.6</v>
      </c>
    </row>
    <row r="175" spans="1:5" x14ac:dyDescent="0.3">
      <c r="A175" s="1">
        <v>0.62280000000000002</v>
      </c>
      <c r="B175" s="1">
        <v>57.6</v>
      </c>
      <c r="D175" s="1">
        <v>0.62280000000000002</v>
      </c>
      <c r="E175" s="1">
        <v>193.9</v>
      </c>
    </row>
    <row r="176" spans="1:5" x14ac:dyDescent="0.3">
      <c r="A176" s="1">
        <v>0.62639999999999996</v>
      </c>
      <c r="B176" s="1">
        <v>57.69</v>
      </c>
      <c r="D176" s="1">
        <v>0.62639999999999996</v>
      </c>
      <c r="E176" s="1">
        <v>194.2</v>
      </c>
    </row>
    <row r="177" spans="1:5" x14ac:dyDescent="0.3">
      <c r="A177" s="1">
        <v>0.63</v>
      </c>
      <c r="B177" s="1">
        <v>57.78</v>
      </c>
      <c r="D177" s="1">
        <v>0.63</v>
      </c>
      <c r="E177" s="1">
        <v>194.5</v>
      </c>
    </row>
    <row r="178" spans="1:5" x14ac:dyDescent="0.3">
      <c r="A178" s="1">
        <v>0.63360000000000005</v>
      </c>
      <c r="B178" s="1">
        <v>57.88</v>
      </c>
      <c r="D178" s="1">
        <v>0.63360000000000005</v>
      </c>
      <c r="E178" s="1">
        <v>194.8</v>
      </c>
    </row>
    <row r="179" spans="1:5" x14ac:dyDescent="0.3">
      <c r="A179" s="1">
        <v>0.63719999999999999</v>
      </c>
      <c r="B179" s="1">
        <v>57.97</v>
      </c>
      <c r="D179" s="1">
        <v>0.63719999999999999</v>
      </c>
      <c r="E179" s="1">
        <v>195.1</v>
      </c>
    </row>
    <row r="180" spans="1:5" x14ac:dyDescent="0.3">
      <c r="A180" s="1">
        <v>0.64080000000000004</v>
      </c>
      <c r="B180" s="1">
        <v>58.07</v>
      </c>
      <c r="D180" s="1">
        <v>0.64080000000000004</v>
      </c>
      <c r="E180" s="1">
        <v>195.5</v>
      </c>
    </row>
    <row r="181" spans="1:5" x14ac:dyDescent="0.3">
      <c r="A181" s="1">
        <v>0.64439999999999997</v>
      </c>
      <c r="B181" s="1">
        <v>58.16</v>
      </c>
      <c r="D181" s="1">
        <v>0.64439999999999997</v>
      </c>
      <c r="E181" s="1">
        <v>195.8</v>
      </c>
    </row>
    <row r="182" spans="1:5" x14ac:dyDescent="0.3">
      <c r="A182" s="1">
        <v>0.64800000000000002</v>
      </c>
      <c r="B182" s="1">
        <v>58.26</v>
      </c>
      <c r="D182" s="1">
        <v>0.64800000000000002</v>
      </c>
      <c r="E182" s="1">
        <v>196.2</v>
      </c>
    </row>
    <row r="183" spans="1:5" x14ac:dyDescent="0.3">
      <c r="A183" s="1">
        <v>0.65159999999999996</v>
      </c>
      <c r="B183" s="1">
        <v>58.36</v>
      </c>
      <c r="D183" s="1">
        <v>0.65159999999999996</v>
      </c>
      <c r="E183" s="1">
        <v>196.5</v>
      </c>
    </row>
    <row r="184" spans="1:5" x14ac:dyDescent="0.3">
      <c r="A184" s="1">
        <v>0.6552</v>
      </c>
      <c r="B184" s="1">
        <v>58.46</v>
      </c>
      <c r="D184" s="1">
        <v>0.6552</v>
      </c>
      <c r="E184" s="1">
        <v>196.9</v>
      </c>
    </row>
    <row r="185" spans="1:5" x14ac:dyDescent="0.3">
      <c r="A185" s="1">
        <v>0.65880000000000005</v>
      </c>
      <c r="B185" s="1">
        <v>58.55</v>
      </c>
      <c r="D185" s="1">
        <v>0.65880000000000005</v>
      </c>
      <c r="E185" s="1">
        <v>197.2</v>
      </c>
    </row>
    <row r="186" spans="1:5" x14ac:dyDescent="0.3">
      <c r="A186" s="1">
        <v>0.66239999999999999</v>
      </c>
      <c r="B186" s="1">
        <v>58.65</v>
      </c>
      <c r="D186" s="1">
        <v>0.66239999999999999</v>
      </c>
      <c r="E186" s="1">
        <v>197.6</v>
      </c>
    </row>
    <row r="187" spans="1:5" x14ac:dyDescent="0.3">
      <c r="A187" s="1">
        <v>0.66600000000000004</v>
      </c>
      <c r="B187" s="1">
        <v>58.75</v>
      </c>
      <c r="D187" s="1">
        <v>0.66600000000000004</v>
      </c>
      <c r="E187" s="1">
        <v>198</v>
      </c>
    </row>
    <row r="188" spans="1:5" x14ac:dyDescent="0.3">
      <c r="A188" s="1">
        <v>0.66959999999999997</v>
      </c>
      <c r="B188" s="1">
        <v>58.85</v>
      </c>
      <c r="D188" s="1">
        <v>0.66959999999999997</v>
      </c>
      <c r="E188" s="1">
        <v>198.4</v>
      </c>
    </row>
    <row r="189" spans="1:5" x14ac:dyDescent="0.3">
      <c r="A189" s="1">
        <v>0.67320000000000002</v>
      </c>
      <c r="B189" s="1">
        <v>58.95</v>
      </c>
      <c r="D189" s="1">
        <v>0.67320000000000002</v>
      </c>
      <c r="E189" s="1">
        <v>198.8</v>
      </c>
    </row>
    <row r="190" spans="1:5" x14ac:dyDescent="0.3">
      <c r="A190" s="1">
        <v>0.67679999999999996</v>
      </c>
      <c r="B190" s="1">
        <v>59.05</v>
      </c>
      <c r="D190" s="1">
        <v>0.67679999999999996</v>
      </c>
      <c r="E190" s="1">
        <v>199.2</v>
      </c>
    </row>
    <row r="191" spans="1:5" x14ac:dyDescent="0.3">
      <c r="A191" s="1">
        <v>0.6804</v>
      </c>
      <c r="B191" s="1">
        <v>59.15</v>
      </c>
      <c r="D191" s="1">
        <v>0.6804</v>
      </c>
      <c r="E191" s="1">
        <v>199.6</v>
      </c>
    </row>
    <row r="192" spans="1:5" x14ac:dyDescent="0.3">
      <c r="A192" s="1">
        <v>0.68400000000000005</v>
      </c>
      <c r="B192" s="1">
        <v>59.25</v>
      </c>
      <c r="D192" s="1">
        <v>0.68400000000000005</v>
      </c>
      <c r="E192" s="1">
        <v>200</v>
      </c>
    </row>
    <row r="193" spans="1:5" x14ac:dyDescent="0.3">
      <c r="A193" s="1">
        <v>0.68759999999999999</v>
      </c>
      <c r="B193" s="1">
        <v>59.36</v>
      </c>
      <c r="D193" s="1">
        <v>0.68759999999999999</v>
      </c>
      <c r="E193" s="1">
        <v>200.4</v>
      </c>
    </row>
    <row r="194" spans="1:5" x14ac:dyDescent="0.3">
      <c r="A194" s="1">
        <v>0.69120000000000004</v>
      </c>
      <c r="B194" s="1">
        <v>59.46</v>
      </c>
      <c r="D194" s="1">
        <v>0.69120000000000004</v>
      </c>
      <c r="E194" s="1">
        <v>200.8</v>
      </c>
    </row>
    <row r="195" spans="1:5" x14ac:dyDescent="0.3">
      <c r="A195" s="1">
        <v>0.69479999999999997</v>
      </c>
      <c r="B195" s="1">
        <v>59.56</v>
      </c>
      <c r="D195" s="1">
        <v>0.69479999999999997</v>
      </c>
      <c r="E195" s="1">
        <v>201.2</v>
      </c>
    </row>
    <row r="196" spans="1:5" x14ac:dyDescent="0.3">
      <c r="A196" s="1">
        <v>0.69840000000000002</v>
      </c>
      <c r="B196" s="1">
        <v>59.66</v>
      </c>
      <c r="D196" s="1">
        <v>0.69840000000000002</v>
      </c>
      <c r="E196" s="1">
        <v>201.6</v>
      </c>
    </row>
    <row r="197" spans="1:5" x14ac:dyDescent="0.3">
      <c r="A197" s="1">
        <v>0.70199999999999996</v>
      </c>
      <c r="B197" s="1">
        <v>59.76</v>
      </c>
      <c r="D197" s="1">
        <v>0.70199999999999996</v>
      </c>
      <c r="E197" s="1">
        <v>202</v>
      </c>
    </row>
    <row r="198" spans="1:5" x14ac:dyDescent="0.3">
      <c r="A198" s="1">
        <v>0.7056</v>
      </c>
      <c r="B198" s="1">
        <v>59.87</v>
      </c>
      <c r="D198" s="1">
        <v>0.7056</v>
      </c>
      <c r="E198" s="1">
        <v>202.4</v>
      </c>
    </row>
    <row r="199" spans="1:5" x14ac:dyDescent="0.3">
      <c r="A199" s="1">
        <v>0.70920000000000005</v>
      </c>
      <c r="B199" s="1">
        <v>59.97</v>
      </c>
      <c r="D199" s="1">
        <v>0.70920000000000005</v>
      </c>
      <c r="E199" s="1">
        <v>202.9</v>
      </c>
    </row>
    <row r="200" spans="1:5" x14ac:dyDescent="0.3">
      <c r="A200" s="1">
        <v>0.71279999999999999</v>
      </c>
      <c r="B200" s="1">
        <v>60.07</v>
      </c>
      <c r="D200" s="1">
        <v>0.71279999999999999</v>
      </c>
      <c r="E200" s="1">
        <v>203.3</v>
      </c>
    </row>
    <row r="201" spans="1:5" x14ac:dyDescent="0.3">
      <c r="A201" s="1">
        <v>0.71640000000000004</v>
      </c>
      <c r="B201" s="1">
        <v>60.18</v>
      </c>
      <c r="D201" s="1">
        <v>0.71640000000000004</v>
      </c>
      <c r="E201" s="1">
        <v>203.7</v>
      </c>
    </row>
    <row r="202" spans="1:5" x14ac:dyDescent="0.3">
      <c r="A202" s="1">
        <v>0.72</v>
      </c>
      <c r="B202" s="1">
        <v>60.28</v>
      </c>
      <c r="D202" s="1">
        <v>0.72</v>
      </c>
      <c r="E202" s="1">
        <v>204.1</v>
      </c>
    </row>
    <row r="203" spans="1:5" x14ac:dyDescent="0.3">
      <c r="A203" s="1">
        <v>0.72360000000000002</v>
      </c>
      <c r="B203" s="1">
        <v>60.38</v>
      </c>
      <c r="D203" s="1">
        <v>0.72360000000000002</v>
      </c>
      <c r="E203" s="1">
        <v>204.5</v>
      </c>
    </row>
    <row r="204" spans="1:5" x14ac:dyDescent="0.3">
      <c r="A204" s="1">
        <v>0.72719999999999996</v>
      </c>
      <c r="B204" s="1">
        <v>60.48</v>
      </c>
      <c r="D204" s="1">
        <v>0.72719999999999996</v>
      </c>
      <c r="E204" s="1">
        <v>205</v>
      </c>
    </row>
    <row r="205" spans="1:5" x14ac:dyDescent="0.3">
      <c r="A205" s="1">
        <v>0.73080000000000001</v>
      </c>
      <c r="B205" s="1">
        <v>60.59</v>
      </c>
      <c r="D205" s="1">
        <v>0.73080000000000001</v>
      </c>
      <c r="E205" s="1">
        <v>205.4</v>
      </c>
    </row>
    <row r="206" spans="1:5" x14ac:dyDescent="0.3">
      <c r="A206" s="1">
        <v>0.73440000000000005</v>
      </c>
      <c r="B206" s="1">
        <v>60.69</v>
      </c>
      <c r="D206" s="1">
        <v>0.73440000000000005</v>
      </c>
      <c r="E206" s="1">
        <v>205.8</v>
      </c>
    </row>
    <row r="207" spans="1:5" x14ac:dyDescent="0.3">
      <c r="A207" s="1">
        <v>0.73799999999999999</v>
      </c>
      <c r="B207" s="1">
        <v>60.79</v>
      </c>
      <c r="D207" s="1">
        <v>0.73799999999999999</v>
      </c>
      <c r="E207" s="1">
        <v>206.2</v>
      </c>
    </row>
    <row r="208" spans="1:5" x14ac:dyDescent="0.3">
      <c r="A208" s="1">
        <v>0.74160000000000004</v>
      </c>
      <c r="B208" s="1">
        <v>60.89</v>
      </c>
      <c r="D208" s="1">
        <v>0.74160000000000004</v>
      </c>
      <c r="E208" s="1">
        <v>206.6</v>
      </c>
    </row>
    <row r="209" spans="1:5" x14ac:dyDescent="0.3">
      <c r="A209" s="1">
        <v>0.74519999999999997</v>
      </c>
      <c r="B209" s="1">
        <v>61</v>
      </c>
      <c r="D209" s="1">
        <v>0.74519999999999997</v>
      </c>
      <c r="E209" s="1">
        <v>207</v>
      </c>
    </row>
    <row r="210" spans="1:5" x14ac:dyDescent="0.3">
      <c r="A210" s="1">
        <v>0.74880000000000002</v>
      </c>
      <c r="B210" s="1">
        <v>61.1</v>
      </c>
      <c r="D210" s="1">
        <v>0.74880000000000002</v>
      </c>
      <c r="E210" s="1">
        <v>207.4</v>
      </c>
    </row>
    <row r="211" spans="1:5" x14ac:dyDescent="0.3">
      <c r="A211" s="1">
        <v>0.75239999999999996</v>
      </c>
      <c r="B211" s="1">
        <v>61.2</v>
      </c>
      <c r="D211" s="1">
        <v>0.75239999999999996</v>
      </c>
      <c r="E211" s="1">
        <v>207.8</v>
      </c>
    </row>
    <row r="212" spans="1:5" x14ac:dyDescent="0.3">
      <c r="A212" s="1">
        <v>0.75600000000000001</v>
      </c>
      <c r="B212" s="1">
        <v>61.3</v>
      </c>
      <c r="D212" s="1">
        <v>0.75600000000000001</v>
      </c>
      <c r="E212" s="1">
        <v>208.2</v>
      </c>
    </row>
    <row r="213" spans="1:5" x14ac:dyDescent="0.3">
      <c r="A213" s="1">
        <v>0.75960000000000005</v>
      </c>
      <c r="B213" s="1">
        <v>61.4</v>
      </c>
      <c r="D213" s="1">
        <v>0.75960000000000005</v>
      </c>
      <c r="E213" s="1">
        <v>208.6</v>
      </c>
    </row>
    <row r="214" spans="1:5" x14ac:dyDescent="0.3">
      <c r="A214" s="1">
        <v>0.76319999999999999</v>
      </c>
      <c r="B214" s="1">
        <v>61.5</v>
      </c>
      <c r="D214" s="1">
        <v>0.76319999999999999</v>
      </c>
      <c r="E214" s="1">
        <v>209</v>
      </c>
    </row>
    <row r="215" spans="1:5" x14ac:dyDescent="0.3">
      <c r="A215" s="1">
        <v>0.76680000000000004</v>
      </c>
      <c r="B215" s="1">
        <v>61.6</v>
      </c>
      <c r="D215" s="1">
        <v>0.76680000000000004</v>
      </c>
      <c r="E215" s="1">
        <v>209.4</v>
      </c>
    </row>
    <row r="216" spans="1:5" x14ac:dyDescent="0.3">
      <c r="A216" s="1">
        <v>0.77039999999999997</v>
      </c>
      <c r="B216" s="1">
        <v>61.7</v>
      </c>
      <c r="D216" s="1">
        <v>0.77039999999999997</v>
      </c>
      <c r="E216" s="1">
        <v>209.8</v>
      </c>
    </row>
    <row r="217" spans="1:5" x14ac:dyDescent="0.3">
      <c r="A217" s="1">
        <v>0.77400000000000002</v>
      </c>
      <c r="B217" s="1">
        <v>61.8</v>
      </c>
      <c r="D217" s="1">
        <v>0.77400000000000002</v>
      </c>
      <c r="E217" s="1">
        <v>210.1</v>
      </c>
    </row>
    <row r="218" spans="1:5" x14ac:dyDescent="0.3">
      <c r="A218" s="1">
        <v>0.77759999999999996</v>
      </c>
      <c r="B218" s="1">
        <v>61.9</v>
      </c>
      <c r="D218" s="1">
        <v>0.77759999999999996</v>
      </c>
      <c r="E218" s="1">
        <v>210.5</v>
      </c>
    </row>
    <row r="219" spans="1:5" x14ac:dyDescent="0.3">
      <c r="A219" s="1">
        <v>0.78120000000000001</v>
      </c>
      <c r="B219" s="1">
        <v>62</v>
      </c>
      <c r="D219" s="1">
        <v>0.78120000000000001</v>
      </c>
      <c r="E219" s="1">
        <v>210.9</v>
      </c>
    </row>
    <row r="220" spans="1:5" x14ac:dyDescent="0.3">
      <c r="A220" s="1">
        <v>0.78480000000000005</v>
      </c>
      <c r="B220" s="1">
        <v>62.09</v>
      </c>
      <c r="D220" s="1">
        <v>0.78480000000000005</v>
      </c>
      <c r="E220" s="1">
        <v>211.2</v>
      </c>
    </row>
    <row r="221" spans="1:5" x14ac:dyDescent="0.3">
      <c r="A221" s="1">
        <v>0.78839999999999999</v>
      </c>
      <c r="B221" s="1">
        <v>62.19</v>
      </c>
      <c r="D221" s="1">
        <v>0.78839999999999999</v>
      </c>
      <c r="E221" s="1">
        <v>211.6</v>
      </c>
    </row>
    <row r="222" spans="1:5" x14ac:dyDescent="0.3">
      <c r="A222" s="1">
        <v>0.79200000000000004</v>
      </c>
      <c r="B222" s="1">
        <v>62.29</v>
      </c>
      <c r="D222" s="1">
        <v>0.79200000000000004</v>
      </c>
      <c r="E222" s="1">
        <v>211.9</v>
      </c>
    </row>
    <row r="223" spans="1:5" x14ac:dyDescent="0.3">
      <c r="A223" s="1">
        <v>0.79559999999999997</v>
      </c>
      <c r="B223" s="1">
        <v>62.38</v>
      </c>
      <c r="D223" s="1">
        <v>0.79559999999999997</v>
      </c>
      <c r="E223" s="1">
        <v>212.3</v>
      </c>
    </row>
    <row r="224" spans="1:5" x14ac:dyDescent="0.3">
      <c r="A224" s="1">
        <v>0.79920000000000002</v>
      </c>
      <c r="B224" s="1">
        <v>62.48</v>
      </c>
      <c r="D224" s="1">
        <v>0.79920000000000002</v>
      </c>
      <c r="E224" s="1">
        <v>212.6</v>
      </c>
    </row>
    <row r="225" spans="1:5" x14ac:dyDescent="0.3">
      <c r="A225" s="1">
        <v>0.80279999999999996</v>
      </c>
      <c r="B225" s="1">
        <v>62.57</v>
      </c>
      <c r="D225" s="1">
        <v>0.80279999999999996</v>
      </c>
      <c r="E225" s="1">
        <v>212.9</v>
      </c>
    </row>
    <row r="226" spans="1:5" x14ac:dyDescent="0.3">
      <c r="A226" s="1">
        <v>0.80640000000000001</v>
      </c>
      <c r="B226" s="1">
        <v>62.67</v>
      </c>
      <c r="D226" s="1">
        <v>0.80640000000000001</v>
      </c>
      <c r="E226" s="1">
        <v>213.3</v>
      </c>
    </row>
    <row r="227" spans="1:5" x14ac:dyDescent="0.3">
      <c r="A227" s="1">
        <v>0.81</v>
      </c>
      <c r="B227" s="1">
        <v>62.76</v>
      </c>
      <c r="D227" s="1">
        <v>0.81</v>
      </c>
      <c r="E227" s="1">
        <v>213.6</v>
      </c>
    </row>
    <row r="228" spans="1:5" x14ac:dyDescent="0.3">
      <c r="A228" s="1">
        <v>0.81359999999999999</v>
      </c>
      <c r="B228" s="1">
        <v>62.85</v>
      </c>
      <c r="D228" s="1">
        <v>0.81359999999999999</v>
      </c>
      <c r="E228" s="1">
        <v>213.9</v>
      </c>
    </row>
    <row r="229" spans="1:5" x14ac:dyDescent="0.3">
      <c r="A229" s="1">
        <v>0.81720000000000004</v>
      </c>
      <c r="B229" s="1">
        <v>62.95</v>
      </c>
      <c r="D229" s="1">
        <v>0.81720000000000004</v>
      </c>
      <c r="E229" s="1">
        <v>214.2</v>
      </c>
    </row>
    <row r="230" spans="1:5" x14ac:dyDescent="0.3">
      <c r="A230" s="1">
        <v>0.82079999999999997</v>
      </c>
      <c r="B230" s="1">
        <v>63.04</v>
      </c>
      <c r="D230" s="1">
        <v>0.82079999999999997</v>
      </c>
      <c r="E230" s="1">
        <v>214.5</v>
      </c>
    </row>
    <row r="231" spans="1:5" x14ac:dyDescent="0.3">
      <c r="A231" s="1">
        <v>0.82440000000000002</v>
      </c>
      <c r="B231" s="1">
        <v>63.13</v>
      </c>
      <c r="D231" s="1">
        <v>0.82440000000000002</v>
      </c>
      <c r="E231" s="1">
        <v>214.8</v>
      </c>
    </row>
    <row r="232" spans="1:5" x14ac:dyDescent="0.3">
      <c r="A232" s="1">
        <v>0.82799999999999996</v>
      </c>
      <c r="B232" s="1">
        <v>63.22</v>
      </c>
      <c r="D232" s="1">
        <v>0.82799999999999996</v>
      </c>
      <c r="E232" s="1">
        <v>215.1</v>
      </c>
    </row>
    <row r="233" spans="1:5" x14ac:dyDescent="0.3">
      <c r="A233" s="1">
        <v>0.83160000000000001</v>
      </c>
      <c r="B233" s="1">
        <v>63.31</v>
      </c>
      <c r="D233" s="1">
        <v>0.83160000000000001</v>
      </c>
      <c r="E233" s="1">
        <v>215.3</v>
      </c>
    </row>
    <row r="234" spans="1:5" x14ac:dyDescent="0.3">
      <c r="A234" s="1">
        <v>0.83520000000000005</v>
      </c>
      <c r="B234" s="1">
        <v>63.4</v>
      </c>
      <c r="D234" s="1">
        <v>0.83520000000000005</v>
      </c>
      <c r="E234" s="1">
        <v>215.6</v>
      </c>
    </row>
    <row r="235" spans="1:5" x14ac:dyDescent="0.3">
      <c r="A235" s="1">
        <v>0.83879999999999999</v>
      </c>
      <c r="B235" s="1">
        <v>63.49</v>
      </c>
      <c r="D235" s="1">
        <v>0.83879999999999999</v>
      </c>
      <c r="E235" s="1">
        <v>215.9</v>
      </c>
    </row>
    <row r="236" spans="1:5" x14ac:dyDescent="0.3">
      <c r="A236" s="1">
        <v>0.84240000000000004</v>
      </c>
      <c r="B236" s="1">
        <v>63.58</v>
      </c>
      <c r="D236" s="1">
        <v>0.84240000000000004</v>
      </c>
      <c r="E236" s="1">
        <v>216.1</v>
      </c>
    </row>
    <row r="237" spans="1:5" x14ac:dyDescent="0.3">
      <c r="A237" s="1">
        <v>0.84599999999999997</v>
      </c>
      <c r="B237" s="1">
        <v>63.67</v>
      </c>
      <c r="D237" s="1">
        <v>0.84599999999999997</v>
      </c>
      <c r="E237" s="1">
        <v>216.4</v>
      </c>
    </row>
    <row r="238" spans="1:5" x14ac:dyDescent="0.3">
      <c r="A238" s="1">
        <v>0.84960000000000002</v>
      </c>
      <c r="B238" s="1">
        <v>63.76</v>
      </c>
      <c r="D238" s="1">
        <v>0.84960000000000002</v>
      </c>
      <c r="E238" s="1">
        <v>216.6</v>
      </c>
    </row>
    <row r="239" spans="1:5" x14ac:dyDescent="0.3">
      <c r="A239" s="1">
        <v>0.85319999999999996</v>
      </c>
      <c r="B239" s="1">
        <v>63.84</v>
      </c>
      <c r="D239" s="1">
        <v>0.85319999999999996</v>
      </c>
      <c r="E239" s="1">
        <v>216.8</v>
      </c>
    </row>
    <row r="240" spans="1:5" x14ac:dyDescent="0.3">
      <c r="A240" s="1">
        <v>0.85680000000000001</v>
      </c>
      <c r="B240" s="1">
        <v>63.93</v>
      </c>
      <c r="D240" s="1">
        <v>0.85680000000000001</v>
      </c>
      <c r="E240" s="1">
        <v>217.1</v>
      </c>
    </row>
    <row r="241" spans="1:5" x14ac:dyDescent="0.3">
      <c r="A241" s="1">
        <v>0.86040000000000005</v>
      </c>
      <c r="B241" s="1">
        <v>64.02</v>
      </c>
      <c r="D241" s="1">
        <v>0.86040000000000005</v>
      </c>
      <c r="E241" s="1">
        <v>217.3</v>
      </c>
    </row>
    <row r="242" spans="1:5" x14ac:dyDescent="0.3">
      <c r="A242" s="1">
        <v>0.86399999999999999</v>
      </c>
      <c r="B242" s="1">
        <v>64.099999999999994</v>
      </c>
      <c r="D242" s="1">
        <v>0.86399999999999999</v>
      </c>
      <c r="E242" s="1">
        <v>217.5</v>
      </c>
    </row>
    <row r="243" spans="1:5" x14ac:dyDescent="0.3">
      <c r="A243" s="1">
        <v>0.86760000000000004</v>
      </c>
      <c r="B243" s="1">
        <v>64.19</v>
      </c>
      <c r="D243" s="1">
        <v>0.86760000000000004</v>
      </c>
      <c r="E243" s="1">
        <v>217.7</v>
      </c>
    </row>
    <row r="244" spans="1:5" x14ac:dyDescent="0.3">
      <c r="A244" s="1">
        <v>0.87119999999999997</v>
      </c>
      <c r="B244" s="1">
        <v>64.27</v>
      </c>
      <c r="D244" s="1">
        <v>0.87119999999999997</v>
      </c>
      <c r="E244" s="1">
        <v>217.9</v>
      </c>
    </row>
    <row r="245" spans="1:5" x14ac:dyDescent="0.3">
      <c r="A245" s="1">
        <v>0.87480000000000002</v>
      </c>
      <c r="B245" s="1">
        <v>64.36</v>
      </c>
      <c r="D245" s="1">
        <v>0.87480000000000002</v>
      </c>
      <c r="E245" s="1">
        <v>218.1</v>
      </c>
    </row>
    <row r="246" spans="1:5" x14ac:dyDescent="0.3">
      <c r="A246" s="1">
        <v>0.87839999999999996</v>
      </c>
      <c r="B246" s="1">
        <v>64.44</v>
      </c>
      <c r="D246" s="1">
        <v>0.87839999999999996</v>
      </c>
      <c r="E246" s="1">
        <v>218.3</v>
      </c>
    </row>
    <row r="247" spans="1:5" x14ac:dyDescent="0.3">
      <c r="A247" s="1">
        <v>0.88200000000000001</v>
      </c>
      <c r="B247" s="1">
        <v>64.53</v>
      </c>
      <c r="D247" s="1">
        <v>0.88200000000000001</v>
      </c>
      <c r="E247" s="1">
        <v>218.5</v>
      </c>
    </row>
    <row r="248" spans="1:5" x14ac:dyDescent="0.3">
      <c r="A248" s="1">
        <v>0.88560000000000005</v>
      </c>
      <c r="B248" s="1">
        <v>64.61</v>
      </c>
      <c r="D248" s="1">
        <v>0.88560000000000005</v>
      </c>
      <c r="E248" s="1">
        <v>218.7</v>
      </c>
    </row>
    <row r="249" spans="1:5" x14ac:dyDescent="0.3">
      <c r="A249" s="1">
        <v>0.88919999999999999</v>
      </c>
      <c r="B249" s="1">
        <v>64.69</v>
      </c>
      <c r="D249" s="1">
        <v>0.88919999999999999</v>
      </c>
      <c r="E249" s="1">
        <v>218.8</v>
      </c>
    </row>
    <row r="250" spans="1:5" x14ac:dyDescent="0.3">
      <c r="A250" s="1">
        <v>0.89280000000000004</v>
      </c>
      <c r="B250" s="1">
        <v>64.78</v>
      </c>
      <c r="D250" s="1">
        <v>0.89280000000000004</v>
      </c>
      <c r="E250" s="1">
        <v>219</v>
      </c>
    </row>
    <row r="251" spans="1:5" x14ac:dyDescent="0.3">
      <c r="A251" s="1">
        <v>0.89639999999999997</v>
      </c>
      <c r="B251" s="1">
        <v>64.86</v>
      </c>
      <c r="D251" s="1">
        <v>0.89639999999999997</v>
      </c>
      <c r="E251" s="1">
        <v>219.2</v>
      </c>
    </row>
    <row r="252" spans="1:5" x14ac:dyDescent="0.3">
      <c r="A252" s="1">
        <v>0.9</v>
      </c>
      <c r="B252" s="1">
        <v>64.94</v>
      </c>
      <c r="D252" s="1">
        <v>0.9</v>
      </c>
      <c r="E252" s="1">
        <v>219.3</v>
      </c>
    </row>
    <row r="253" spans="1:5" x14ac:dyDescent="0.3">
      <c r="A253" s="1">
        <v>0.90359999999999996</v>
      </c>
      <c r="B253" s="1">
        <v>65.02</v>
      </c>
      <c r="D253" s="1">
        <v>0.90359999999999996</v>
      </c>
      <c r="E253" s="1">
        <v>219.5</v>
      </c>
    </row>
    <row r="254" spans="1:5" x14ac:dyDescent="0.3">
      <c r="A254" s="1">
        <v>0.90720000000000001</v>
      </c>
      <c r="B254" s="1">
        <v>65.099999999999994</v>
      </c>
      <c r="D254" s="1">
        <v>0.90720000000000001</v>
      </c>
      <c r="E254" s="1">
        <v>219.6</v>
      </c>
    </row>
    <row r="255" spans="1:5" x14ac:dyDescent="0.3">
      <c r="A255" s="1">
        <v>0.91080000000000005</v>
      </c>
      <c r="B255" s="1">
        <v>65.19</v>
      </c>
      <c r="D255" s="1">
        <v>0.91080000000000005</v>
      </c>
      <c r="E255" s="1">
        <v>219.8</v>
      </c>
    </row>
    <row r="256" spans="1:5" x14ac:dyDescent="0.3">
      <c r="A256" s="1">
        <v>0.91439999999999999</v>
      </c>
      <c r="B256" s="1">
        <v>65.27</v>
      </c>
      <c r="D256" s="1">
        <v>0.91439999999999999</v>
      </c>
      <c r="E256" s="1">
        <v>219.9</v>
      </c>
    </row>
    <row r="257" spans="1:5" x14ac:dyDescent="0.3">
      <c r="A257" s="1">
        <v>0.91800000000000004</v>
      </c>
      <c r="B257" s="1">
        <v>65.349999999999994</v>
      </c>
      <c r="D257" s="1">
        <v>0.91800000000000004</v>
      </c>
      <c r="E257" s="1">
        <v>220.1</v>
      </c>
    </row>
    <row r="258" spans="1:5" x14ac:dyDescent="0.3">
      <c r="A258" s="1">
        <v>0.92159999999999997</v>
      </c>
      <c r="B258" s="1">
        <v>65.430000000000007</v>
      </c>
      <c r="D258" s="1">
        <v>0.92159999999999997</v>
      </c>
      <c r="E258" s="1">
        <v>220.2</v>
      </c>
    </row>
    <row r="259" spans="1:5" x14ac:dyDescent="0.3">
      <c r="A259" s="1">
        <v>0.92520000000000002</v>
      </c>
      <c r="B259" s="1">
        <v>65.510000000000005</v>
      </c>
      <c r="D259" s="1">
        <v>0.92520000000000002</v>
      </c>
      <c r="E259" s="1">
        <v>220.4</v>
      </c>
    </row>
    <row r="260" spans="1:5" x14ac:dyDescent="0.3">
      <c r="A260" s="1">
        <v>0.92879999999999996</v>
      </c>
      <c r="B260" s="1">
        <v>65.59</v>
      </c>
      <c r="D260" s="1">
        <v>0.92879999999999996</v>
      </c>
      <c r="E260" s="1">
        <v>220.5</v>
      </c>
    </row>
    <row r="261" spans="1:5" x14ac:dyDescent="0.3">
      <c r="A261" s="1">
        <v>0.93240000000000001</v>
      </c>
      <c r="B261" s="1">
        <v>65.67</v>
      </c>
      <c r="D261" s="1">
        <v>0.93240000000000001</v>
      </c>
      <c r="E261" s="1">
        <v>220.6</v>
      </c>
    </row>
    <row r="262" spans="1:5" x14ac:dyDescent="0.3">
      <c r="A262" s="1">
        <v>0.93600000000000005</v>
      </c>
      <c r="B262" s="1">
        <v>65.760000000000005</v>
      </c>
      <c r="D262" s="1">
        <v>0.93600000000000005</v>
      </c>
      <c r="E262" s="1">
        <v>220.8</v>
      </c>
    </row>
    <row r="263" spans="1:5" x14ac:dyDescent="0.3">
      <c r="A263" s="1">
        <v>0.93959999999999999</v>
      </c>
      <c r="B263" s="1">
        <v>65.84</v>
      </c>
      <c r="D263" s="1">
        <v>0.93959999999999999</v>
      </c>
      <c r="E263" s="1">
        <v>220.9</v>
      </c>
    </row>
    <row r="264" spans="1:5" x14ac:dyDescent="0.3">
      <c r="A264" s="1">
        <v>0.94320000000000004</v>
      </c>
      <c r="B264" s="1">
        <v>65.92</v>
      </c>
      <c r="D264" s="1">
        <v>0.94320000000000004</v>
      </c>
      <c r="E264" s="1">
        <v>221</v>
      </c>
    </row>
    <row r="265" spans="1:5" x14ac:dyDescent="0.3">
      <c r="A265" s="1">
        <v>0.94679999999999997</v>
      </c>
      <c r="B265" s="1">
        <v>66</v>
      </c>
      <c r="D265" s="1">
        <v>0.94679999999999997</v>
      </c>
      <c r="E265" s="1">
        <v>221.1</v>
      </c>
    </row>
    <row r="266" spans="1:5" x14ac:dyDescent="0.3">
      <c r="A266" s="1">
        <v>0.95040000000000002</v>
      </c>
      <c r="B266" s="1">
        <v>66.08</v>
      </c>
      <c r="D266" s="1">
        <v>0.95040000000000002</v>
      </c>
      <c r="E266" s="1">
        <v>221.3</v>
      </c>
    </row>
    <row r="267" spans="1:5" x14ac:dyDescent="0.3">
      <c r="A267" s="1">
        <v>0.95399999999999996</v>
      </c>
      <c r="B267" s="1">
        <v>66.16</v>
      </c>
      <c r="D267" s="1">
        <v>0.95399999999999996</v>
      </c>
      <c r="E267" s="1">
        <v>221.4</v>
      </c>
    </row>
    <row r="268" spans="1:5" x14ac:dyDescent="0.3">
      <c r="A268" s="1">
        <v>0.95760000000000001</v>
      </c>
      <c r="B268" s="1">
        <v>66.25</v>
      </c>
      <c r="D268" s="1">
        <v>0.95760000000000001</v>
      </c>
      <c r="E268" s="1">
        <v>221.5</v>
      </c>
    </row>
    <row r="269" spans="1:5" x14ac:dyDescent="0.3">
      <c r="A269" s="1">
        <v>0.96120000000000005</v>
      </c>
      <c r="B269" s="1">
        <v>66.33</v>
      </c>
      <c r="D269" s="1">
        <v>0.96120000000000005</v>
      </c>
      <c r="E269" s="1">
        <v>221.6</v>
      </c>
    </row>
    <row r="270" spans="1:5" x14ac:dyDescent="0.3">
      <c r="A270" s="1">
        <v>0.96479999999999999</v>
      </c>
      <c r="B270" s="1">
        <v>66.41</v>
      </c>
      <c r="D270" s="1">
        <v>0.96479999999999999</v>
      </c>
      <c r="E270" s="1">
        <v>221.8</v>
      </c>
    </row>
    <row r="271" spans="1:5" x14ac:dyDescent="0.3">
      <c r="A271" s="1">
        <v>0.96840000000000004</v>
      </c>
      <c r="B271" s="1">
        <v>66.489999999999995</v>
      </c>
      <c r="D271" s="1">
        <v>0.96840000000000004</v>
      </c>
      <c r="E271" s="1">
        <v>221.9</v>
      </c>
    </row>
    <row r="272" spans="1:5" x14ac:dyDescent="0.3">
      <c r="A272" s="1">
        <v>0.97199999999999998</v>
      </c>
      <c r="B272" s="1">
        <v>66.58</v>
      </c>
      <c r="D272" s="1">
        <v>0.97199999999999998</v>
      </c>
      <c r="E272" s="1">
        <v>222</v>
      </c>
    </row>
    <row r="273" spans="1:5" x14ac:dyDescent="0.3">
      <c r="A273" s="1">
        <v>0.97560000000000002</v>
      </c>
      <c r="B273" s="1">
        <v>66.66</v>
      </c>
      <c r="D273" s="1">
        <v>0.97560000000000002</v>
      </c>
      <c r="E273" s="1">
        <v>222.1</v>
      </c>
    </row>
    <row r="274" spans="1:5" x14ac:dyDescent="0.3">
      <c r="A274" s="1">
        <v>0.97919999999999996</v>
      </c>
      <c r="B274" s="1">
        <v>66.739999999999995</v>
      </c>
      <c r="D274" s="1">
        <v>0.97919999999999996</v>
      </c>
      <c r="E274" s="1">
        <v>222.3</v>
      </c>
    </row>
    <row r="275" spans="1:5" x14ac:dyDescent="0.3">
      <c r="A275" s="1">
        <v>0.98280000000000001</v>
      </c>
      <c r="B275" s="1">
        <v>66.83</v>
      </c>
      <c r="D275" s="1">
        <v>0.98280000000000001</v>
      </c>
      <c r="E275" s="1">
        <v>222.4</v>
      </c>
    </row>
    <row r="276" spans="1:5" x14ac:dyDescent="0.3">
      <c r="A276" s="1">
        <v>0.98640000000000005</v>
      </c>
      <c r="B276" s="1">
        <v>66.91</v>
      </c>
      <c r="D276" s="1">
        <v>0.98640000000000005</v>
      </c>
      <c r="E276" s="1">
        <v>222.5</v>
      </c>
    </row>
    <row r="277" spans="1:5" x14ac:dyDescent="0.3">
      <c r="A277" s="1">
        <v>0.99</v>
      </c>
      <c r="B277" s="1">
        <v>66.989999999999995</v>
      </c>
      <c r="D277" s="1">
        <v>0.99</v>
      </c>
      <c r="E277" s="1">
        <v>222.7</v>
      </c>
    </row>
    <row r="278" spans="1:5" x14ac:dyDescent="0.3">
      <c r="A278" s="1">
        <v>0.99360000000000004</v>
      </c>
      <c r="B278" s="1">
        <v>67.08</v>
      </c>
      <c r="D278" s="1">
        <v>0.99360000000000004</v>
      </c>
      <c r="E278" s="1">
        <v>222.8</v>
      </c>
    </row>
    <row r="279" spans="1:5" x14ac:dyDescent="0.3">
      <c r="A279" s="1">
        <v>0.99719999999999998</v>
      </c>
      <c r="B279" s="1">
        <v>67.16</v>
      </c>
      <c r="D279" s="1">
        <v>0.99719999999999998</v>
      </c>
      <c r="E279" s="1">
        <v>223</v>
      </c>
    </row>
    <row r="280" spans="1:5" x14ac:dyDescent="0.3">
      <c r="A280" s="1">
        <v>1.0009999999999999</v>
      </c>
      <c r="B280" s="1">
        <v>67.25</v>
      </c>
      <c r="D280" s="1">
        <v>1.0009999999999999</v>
      </c>
      <c r="E280" s="1">
        <v>223.1</v>
      </c>
    </row>
    <row r="281" spans="1:5" x14ac:dyDescent="0.3">
      <c r="A281" s="1">
        <v>1.004</v>
      </c>
      <c r="B281" s="1">
        <v>67.34</v>
      </c>
      <c r="D281" s="1">
        <v>1.004</v>
      </c>
      <c r="E281" s="1">
        <v>223.3</v>
      </c>
    </row>
    <row r="282" spans="1:5" x14ac:dyDescent="0.3">
      <c r="A282" s="1">
        <v>1.008</v>
      </c>
      <c r="B282" s="1">
        <v>67.42</v>
      </c>
      <c r="D282" s="1">
        <v>1.008</v>
      </c>
      <c r="E282" s="1">
        <v>223.4</v>
      </c>
    </row>
    <row r="283" spans="1:5" x14ac:dyDescent="0.3">
      <c r="A283" s="1">
        <v>1.012</v>
      </c>
      <c r="B283" s="1">
        <v>67.510000000000005</v>
      </c>
      <c r="D283" s="1">
        <v>1.012</v>
      </c>
      <c r="E283" s="1">
        <v>223.6</v>
      </c>
    </row>
    <row r="284" spans="1:5" x14ac:dyDescent="0.3">
      <c r="A284" s="1">
        <v>1.0149999999999999</v>
      </c>
      <c r="B284" s="1">
        <v>67.599999999999994</v>
      </c>
      <c r="D284" s="1">
        <v>1.0149999999999999</v>
      </c>
      <c r="E284" s="1">
        <v>223.8</v>
      </c>
    </row>
    <row r="285" spans="1:5" x14ac:dyDescent="0.3">
      <c r="A285" s="1">
        <v>1.0189999999999999</v>
      </c>
      <c r="B285" s="1">
        <v>67.69</v>
      </c>
      <c r="D285" s="1">
        <v>1.0189999999999999</v>
      </c>
      <c r="E285" s="1">
        <v>223.9</v>
      </c>
    </row>
    <row r="286" spans="1:5" x14ac:dyDescent="0.3">
      <c r="A286" s="1">
        <v>1.022</v>
      </c>
      <c r="B286" s="1">
        <v>67.78</v>
      </c>
      <c r="D286" s="1">
        <v>1.022</v>
      </c>
      <c r="E286" s="1">
        <v>224.1</v>
      </c>
    </row>
    <row r="287" spans="1:5" x14ac:dyDescent="0.3">
      <c r="A287" s="1">
        <v>1.026</v>
      </c>
      <c r="B287" s="1">
        <v>67.86</v>
      </c>
      <c r="D287" s="1">
        <v>1.026</v>
      </c>
      <c r="E287" s="1">
        <v>224.3</v>
      </c>
    </row>
    <row r="288" spans="1:5" x14ac:dyDescent="0.3">
      <c r="A288" s="1">
        <v>1.03</v>
      </c>
      <c r="B288" s="1">
        <v>67.95</v>
      </c>
      <c r="D288" s="1">
        <v>1.03</v>
      </c>
      <c r="E288" s="1">
        <v>224.5</v>
      </c>
    </row>
    <row r="289" spans="1:5" x14ac:dyDescent="0.3">
      <c r="A289" s="1">
        <v>1.0329999999999999</v>
      </c>
      <c r="B289" s="1">
        <v>68.040000000000006</v>
      </c>
      <c r="D289" s="1">
        <v>1.0329999999999999</v>
      </c>
      <c r="E289" s="1">
        <v>224.7</v>
      </c>
    </row>
    <row r="290" spans="1:5" x14ac:dyDescent="0.3">
      <c r="A290" s="1">
        <v>1.0369999999999999</v>
      </c>
      <c r="B290" s="1">
        <v>68.14</v>
      </c>
      <c r="D290" s="1">
        <v>1.0369999999999999</v>
      </c>
      <c r="E290" s="1">
        <v>224.9</v>
      </c>
    </row>
    <row r="291" spans="1:5" x14ac:dyDescent="0.3">
      <c r="A291" s="1">
        <v>1.04</v>
      </c>
      <c r="B291" s="1">
        <v>68.23</v>
      </c>
      <c r="D291" s="1">
        <v>1.04</v>
      </c>
      <c r="E291" s="1">
        <v>225.1</v>
      </c>
    </row>
    <row r="292" spans="1:5" x14ac:dyDescent="0.3">
      <c r="A292" s="1">
        <v>1.044</v>
      </c>
      <c r="B292" s="1">
        <v>68.319999999999993</v>
      </c>
      <c r="D292" s="1">
        <v>1.044</v>
      </c>
      <c r="E292" s="1">
        <v>225.3</v>
      </c>
    </row>
    <row r="293" spans="1:5" x14ac:dyDescent="0.3">
      <c r="A293" s="1">
        <v>1.048</v>
      </c>
      <c r="B293" s="1">
        <v>68.41</v>
      </c>
      <c r="D293" s="1">
        <v>1.048</v>
      </c>
      <c r="E293" s="1">
        <v>225.5</v>
      </c>
    </row>
    <row r="294" spans="1:5" x14ac:dyDescent="0.3">
      <c r="A294" s="1">
        <v>1.0509999999999999</v>
      </c>
      <c r="B294" s="1">
        <v>68.5</v>
      </c>
      <c r="D294" s="1">
        <v>1.0509999999999999</v>
      </c>
      <c r="E294" s="1">
        <v>225.7</v>
      </c>
    </row>
    <row r="295" spans="1:5" x14ac:dyDescent="0.3">
      <c r="A295" s="1">
        <v>1.0549999999999999</v>
      </c>
      <c r="B295" s="1">
        <v>68.599999999999994</v>
      </c>
      <c r="D295" s="1">
        <v>1.0549999999999999</v>
      </c>
      <c r="E295" s="1">
        <v>225.9</v>
      </c>
    </row>
    <row r="296" spans="1:5" x14ac:dyDescent="0.3">
      <c r="A296" s="1">
        <v>1.0580000000000001</v>
      </c>
      <c r="B296" s="1">
        <v>68.69</v>
      </c>
      <c r="D296" s="1">
        <v>1.0580000000000001</v>
      </c>
      <c r="E296" s="1">
        <v>226.2</v>
      </c>
    </row>
    <row r="297" spans="1:5" x14ac:dyDescent="0.3">
      <c r="A297" s="1">
        <v>1.0620000000000001</v>
      </c>
      <c r="B297" s="1">
        <v>68.790000000000006</v>
      </c>
      <c r="D297" s="1">
        <v>1.0620000000000001</v>
      </c>
      <c r="E297" s="1">
        <v>226.4</v>
      </c>
    </row>
    <row r="298" spans="1:5" x14ac:dyDescent="0.3">
      <c r="A298" s="1">
        <v>1.0660000000000001</v>
      </c>
      <c r="B298" s="1">
        <v>68.88</v>
      </c>
      <c r="D298" s="1">
        <v>1.0660000000000001</v>
      </c>
      <c r="E298" s="1">
        <v>226.6</v>
      </c>
    </row>
    <row r="299" spans="1:5" x14ac:dyDescent="0.3">
      <c r="A299" s="1">
        <v>1.069</v>
      </c>
      <c r="B299" s="1">
        <v>68.98</v>
      </c>
      <c r="D299" s="1">
        <v>1.069</v>
      </c>
      <c r="E299" s="1">
        <v>226.9</v>
      </c>
    </row>
    <row r="300" spans="1:5" x14ac:dyDescent="0.3">
      <c r="A300" s="1">
        <v>1.073</v>
      </c>
      <c r="B300" s="1">
        <v>69.069999999999993</v>
      </c>
      <c r="D300" s="1">
        <v>1.073</v>
      </c>
      <c r="E300" s="1">
        <v>227.1</v>
      </c>
    </row>
    <row r="301" spans="1:5" x14ac:dyDescent="0.3">
      <c r="A301" s="1">
        <v>1.0760000000000001</v>
      </c>
      <c r="B301" s="1">
        <v>69.17</v>
      </c>
      <c r="D301" s="1">
        <v>1.0760000000000001</v>
      </c>
      <c r="E301" s="1">
        <v>227.4</v>
      </c>
    </row>
    <row r="302" spans="1:5" x14ac:dyDescent="0.3">
      <c r="A302" s="1">
        <v>1.08</v>
      </c>
      <c r="B302" s="1">
        <v>69.27</v>
      </c>
      <c r="D302" s="1">
        <v>1.08</v>
      </c>
      <c r="E302" s="1">
        <v>227.7</v>
      </c>
    </row>
    <row r="303" spans="1:5" x14ac:dyDescent="0.3">
      <c r="A303" s="1">
        <v>1.0840000000000001</v>
      </c>
      <c r="B303" s="1">
        <v>69.36</v>
      </c>
      <c r="D303" s="1">
        <v>1.0840000000000001</v>
      </c>
      <c r="E303" s="1">
        <v>228</v>
      </c>
    </row>
    <row r="304" spans="1:5" x14ac:dyDescent="0.3">
      <c r="A304" s="1">
        <v>1.087</v>
      </c>
      <c r="B304" s="1">
        <v>69.459999999999994</v>
      </c>
      <c r="D304" s="1">
        <v>1.087</v>
      </c>
      <c r="E304" s="1">
        <v>228.2</v>
      </c>
    </row>
    <row r="305" spans="1:5" x14ac:dyDescent="0.3">
      <c r="A305" s="1">
        <v>1.091</v>
      </c>
      <c r="B305" s="1">
        <v>69.56</v>
      </c>
      <c r="D305" s="1">
        <v>1.091</v>
      </c>
      <c r="E305" s="1">
        <v>228.5</v>
      </c>
    </row>
    <row r="306" spans="1:5" x14ac:dyDescent="0.3">
      <c r="A306" s="1">
        <v>1.0940000000000001</v>
      </c>
      <c r="B306" s="1">
        <v>69.66</v>
      </c>
      <c r="D306" s="1">
        <v>1.0940000000000001</v>
      </c>
      <c r="E306" s="1">
        <v>228.8</v>
      </c>
    </row>
    <row r="307" spans="1:5" x14ac:dyDescent="0.3">
      <c r="A307" s="1">
        <v>1.0980000000000001</v>
      </c>
      <c r="B307" s="1">
        <v>69.760000000000005</v>
      </c>
      <c r="D307" s="1">
        <v>1.0980000000000001</v>
      </c>
      <c r="E307" s="1">
        <v>229.1</v>
      </c>
    </row>
    <row r="308" spans="1:5" x14ac:dyDescent="0.3">
      <c r="A308" s="1">
        <v>1.1020000000000001</v>
      </c>
      <c r="B308" s="1">
        <v>69.86</v>
      </c>
      <c r="D308" s="1">
        <v>1.1020000000000001</v>
      </c>
      <c r="E308" s="1">
        <v>229.4</v>
      </c>
    </row>
    <row r="309" spans="1:5" x14ac:dyDescent="0.3">
      <c r="A309" s="1">
        <v>1.105</v>
      </c>
      <c r="B309" s="1">
        <v>69.959999999999994</v>
      </c>
      <c r="D309" s="1">
        <v>1.105</v>
      </c>
      <c r="E309" s="1">
        <v>229.7</v>
      </c>
    </row>
    <row r="310" spans="1:5" x14ac:dyDescent="0.3">
      <c r="A310" s="1">
        <v>1.109</v>
      </c>
      <c r="B310" s="1">
        <v>70.06</v>
      </c>
      <c r="D310" s="1">
        <v>1.109</v>
      </c>
      <c r="E310" s="1">
        <v>230.1</v>
      </c>
    </row>
    <row r="311" spans="1:5" x14ac:dyDescent="0.3">
      <c r="A311" s="1">
        <v>1.1120000000000001</v>
      </c>
      <c r="B311" s="1">
        <v>70.16</v>
      </c>
      <c r="D311" s="1">
        <v>1.1120000000000001</v>
      </c>
      <c r="E311" s="1">
        <v>230.4</v>
      </c>
    </row>
    <row r="312" spans="1:5" x14ac:dyDescent="0.3">
      <c r="A312" s="1">
        <v>1.1160000000000001</v>
      </c>
      <c r="B312" s="1">
        <v>70.260000000000005</v>
      </c>
      <c r="D312" s="1">
        <v>1.1160000000000001</v>
      </c>
      <c r="E312" s="1">
        <v>230.7</v>
      </c>
    </row>
    <row r="313" spans="1:5" x14ac:dyDescent="0.3">
      <c r="A313" s="1">
        <v>1.1200000000000001</v>
      </c>
      <c r="B313" s="1">
        <v>70.36</v>
      </c>
      <c r="D313" s="1">
        <v>1.1200000000000001</v>
      </c>
      <c r="E313" s="1">
        <v>231.1</v>
      </c>
    </row>
    <row r="314" spans="1:5" x14ac:dyDescent="0.3">
      <c r="A314" s="1">
        <v>1.123</v>
      </c>
      <c r="B314" s="1">
        <v>70.459999999999994</v>
      </c>
      <c r="D314" s="1">
        <v>1.123</v>
      </c>
      <c r="E314" s="1">
        <v>231.4</v>
      </c>
    </row>
    <row r="315" spans="1:5" x14ac:dyDescent="0.3">
      <c r="A315" s="1">
        <v>1.127</v>
      </c>
      <c r="B315" s="1">
        <v>70.569999999999993</v>
      </c>
      <c r="D315" s="1">
        <v>1.127</v>
      </c>
      <c r="E315" s="1">
        <v>231.7</v>
      </c>
    </row>
    <row r="316" spans="1:5" x14ac:dyDescent="0.3">
      <c r="A316" s="1">
        <v>1.1299999999999999</v>
      </c>
      <c r="B316" s="1">
        <v>70.67</v>
      </c>
      <c r="D316" s="1">
        <v>1.1299999999999999</v>
      </c>
      <c r="E316" s="1">
        <v>232.1</v>
      </c>
    </row>
    <row r="317" spans="1:5" x14ac:dyDescent="0.3">
      <c r="A317" s="1">
        <v>1.1339999999999999</v>
      </c>
      <c r="B317" s="1">
        <v>70.77</v>
      </c>
      <c r="D317" s="1">
        <v>1.1339999999999999</v>
      </c>
      <c r="E317" s="1">
        <v>232.5</v>
      </c>
    </row>
    <row r="318" spans="1:5" x14ac:dyDescent="0.3">
      <c r="A318" s="1">
        <v>1.1379999999999999</v>
      </c>
      <c r="B318" s="1">
        <v>70.87</v>
      </c>
      <c r="D318" s="1">
        <v>1.1379999999999999</v>
      </c>
      <c r="E318" s="1">
        <v>232.8</v>
      </c>
    </row>
    <row r="319" spans="1:5" x14ac:dyDescent="0.3">
      <c r="A319" s="1">
        <v>1.141</v>
      </c>
      <c r="B319" s="1">
        <v>70.98</v>
      </c>
      <c r="D319" s="1">
        <v>1.141</v>
      </c>
      <c r="E319" s="1">
        <v>233.2</v>
      </c>
    </row>
    <row r="320" spans="1:5" x14ac:dyDescent="0.3">
      <c r="A320" s="1">
        <v>1.145</v>
      </c>
      <c r="B320" s="1">
        <v>71.08</v>
      </c>
      <c r="D320" s="1">
        <v>1.145</v>
      </c>
      <c r="E320" s="1">
        <v>233.5</v>
      </c>
    </row>
    <row r="321" spans="1:5" x14ac:dyDescent="0.3">
      <c r="A321" s="1">
        <v>1.1479999999999999</v>
      </c>
      <c r="B321" s="1">
        <v>71.180000000000007</v>
      </c>
      <c r="D321" s="1">
        <v>1.1479999999999999</v>
      </c>
      <c r="E321" s="1">
        <v>233.9</v>
      </c>
    </row>
    <row r="322" spans="1:5" x14ac:dyDescent="0.3">
      <c r="A322" s="1">
        <v>1.1519999999999999</v>
      </c>
      <c r="B322" s="1">
        <v>71.290000000000006</v>
      </c>
      <c r="D322" s="1">
        <v>1.1519999999999999</v>
      </c>
      <c r="E322" s="1">
        <v>234.3</v>
      </c>
    </row>
    <row r="323" spans="1:5" x14ac:dyDescent="0.3">
      <c r="A323" s="1">
        <v>1.1559999999999999</v>
      </c>
      <c r="B323" s="1">
        <v>71.39</v>
      </c>
      <c r="D323" s="1">
        <v>1.1559999999999999</v>
      </c>
      <c r="E323" s="1">
        <v>234.7</v>
      </c>
    </row>
    <row r="324" spans="1:5" x14ac:dyDescent="0.3">
      <c r="A324" s="1">
        <v>1.159</v>
      </c>
      <c r="B324" s="1">
        <v>71.489999999999995</v>
      </c>
      <c r="D324" s="1">
        <v>1.159</v>
      </c>
      <c r="E324" s="1">
        <v>235.1</v>
      </c>
    </row>
    <row r="325" spans="1:5" x14ac:dyDescent="0.3">
      <c r="A325" s="1">
        <v>1.163</v>
      </c>
      <c r="B325" s="1">
        <v>71.599999999999994</v>
      </c>
      <c r="D325" s="1">
        <v>1.163</v>
      </c>
      <c r="E325" s="1">
        <v>235.4</v>
      </c>
    </row>
    <row r="326" spans="1:5" x14ac:dyDescent="0.3">
      <c r="A326" s="1">
        <v>1.1659999999999999</v>
      </c>
      <c r="B326" s="1">
        <v>71.7</v>
      </c>
      <c r="D326" s="1">
        <v>1.1659999999999999</v>
      </c>
      <c r="E326" s="1">
        <v>235.8</v>
      </c>
    </row>
    <row r="327" spans="1:5" x14ac:dyDescent="0.3">
      <c r="A327" s="1">
        <v>1.17</v>
      </c>
      <c r="B327" s="1">
        <v>71.8</v>
      </c>
      <c r="D327" s="1">
        <v>1.17</v>
      </c>
      <c r="E327" s="1">
        <v>236.2</v>
      </c>
    </row>
    <row r="328" spans="1:5" x14ac:dyDescent="0.3">
      <c r="A328" s="1">
        <v>1.1739999999999999</v>
      </c>
      <c r="B328" s="1">
        <v>71.91</v>
      </c>
      <c r="D328" s="1">
        <v>1.1739999999999999</v>
      </c>
      <c r="E328" s="1">
        <v>236.6</v>
      </c>
    </row>
    <row r="329" spans="1:5" x14ac:dyDescent="0.3">
      <c r="A329" s="1">
        <v>1.177</v>
      </c>
      <c r="B329" s="1">
        <v>72.010000000000005</v>
      </c>
      <c r="D329" s="1">
        <v>1.177</v>
      </c>
      <c r="E329" s="1">
        <v>237</v>
      </c>
    </row>
    <row r="330" spans="1:5" x14ac:dyDescent="0.3">
      <c r="A330" s="1">
        <v>1.181</v>
      </c>
      <c r="B330" s="1">
        <v>72.11</v>
      </c>
      <c r="D330" s="1">
        <v>1.181</v>
      </c>
      <c r="E330" s="1">
        <v>237.4</v>
      </c>
    </row>
    <row r="331" spans="1:5" x14ac:dyDescent="0.3">
      <c r="A331" s="1">
        <v>1.1839999999999999</v>
      </c>
      <c r="B331" s="1">
        <v>72.22</v>
      </c>
      <c r="D331" s="1">
        <v>1.1839999999999999</v>
      </c>
      <c r="E331" s="1">
        <v>237.8</v>
      </c>
    </row>
    <row r="332" spans="1:5" x14ac:dyDescent="0.3">
      <c r="A332" s="1">
        <v>1.1879999999999999</v>
      </c>
      <c r="B332" s="1">
        <v>72.319999999999993</v>
      </c>
      <c r="D332" s="1">
        <v>1.1879999999999999</v>
      </c>
      <c r="E332" s="1">
        <v>238.2</v>
      </c>
    </row>
    <row r="333" spans="1:5" x14ac:dyDescent="0.3">
      <c r="A333" s="1">
        <v>1.1919999999999999</v>
      </c>
      <c r="B333" s="1">
        <v>72.42</v>
      </c>
      <c r="D333" s="1">
        <v>1.1919999999999999</v>
      </c>
      <c r="E333" s="1">
        <v>238.6</v>
      </c>
    </row>
    <row r="334" spans="1:5" x14ac:dyDescent="0.3">
      <c r="A334" s="1">
        <v>1.1950000000000001</v>
      </c>
      <c r="B334" s="1">
        <v>72.53</v>
      </c>
      <c r="D334" s="1">
        <v>1.1950000000000001</v>
      </c>
      <c r="E334" s="1">
        <v>239</v>
      </c>
    </row>
    <row r="335" spans="1:5" x14ac:dyDescent="0.3">
      <c r="A335" s="1">
        <v>1.1990000000000001</v>
      </c>
      <c r="B335" s="1">
        <v>72.63</v>
      </c>
      <c r="D335" s="1">
        <v>1.1990000000000001</v>
      </c>
      <c r="E335" s="1">
        <v>239.3</v>
      </c>
    </row>
    <row r="336" spans="1:5" x14ac:dyDescent="0.3">
      <c r="A336" s="1">
        <v>1.202</v>
      </c>
      <c r="B336" s="1">
        <v>72.73</v>
      </c>
      <c r="D336" s="1">
        <v>1.202</v>
      </c>
      <c r="E336" s="1">
        <v>239.7</v>
      </c>
    </row>
    <row r="337" spans="1:5" x14ac:dyDescent="0.3">
      <c r="A337" s="1">
        <v>1.206</v>
      </c>
      <c r="B337" s="1">
        <v>72.83</v>
      </c>
      <c r="D337" s="1">
        <v>1.206</v>
      </c>
      <c r="E337" s="1">
        <v>240.1</v>
      </c>
    </row>
    <row r="338" spans="1:5" x14ac:dyDescent="0.3">
      <c r="A338" s="1">
        <v>1.21</v>
      </c>
      <c r="B338" s="1">
        <v>72.94</v>
      </c>
      <c r="D338" s="1">
        <v>1.21</v>
      </c>
      <c r="E338" s="1">
        <v>240.5</v>
      </c>
    </row>
    <row r="339" spans="1:5" x14ac:dyDescent="0.3">
      <c r="A339" s="1">
        <v>1.2130000000000001</v>
      </c>
      <c r="B339" s="1">
        <v>73.040000000000006</v>
      </c>
      <c r="D339" s="1">
        <v>1.2130000000000001</v>
      </c>
      <c r="E339" s="1">
        <v>240.9</v>
      </c>
    </row>
    <row r="340" spans="1:5" x14ac:dyDescent="0.3">
      <c r="A340" s="1">
        <v>1.2170000000000001</v>
      </c>
      <c r="B340" s="1">
        <v>73.14</v>
      </c>
      <c r="D340" s="1">
        <v>1.2170000000000001</v>
      </c>
      <c r="E340" s="1">
        <v>241.3</v>
      </c>
    </row>
    <row r="341" spans="1:5" x14ac:dyDescent="0.3">
      <c r="A341" s="1">
        <v>1.22</v>
      </c>
      <c r="B341" s="1">
        <v>73.239999999999995</v>
      </c>
      <c r="D341" s="1">
        <v>1.22</v>
      </c>
      <c r="E341" s="1">
        <v>241.7</v>
      </c>
    </row>
    <row r="342" spans="1:5" x14ac:dyDescent="0.3">
      <c r="A342" s="1">
        <v>1.224</v>
      </c>
      <c r="B342" s="1">
        <v>73.34</v>
      </c>
      <c r="D342" s="1">
        <v>1.224</v>
      </c>
      <c r="E342" s="1">
        <v>242</v>
      </c>
    </row>
    <row r="343" spans="1:5" x14ac:dyDescent="0.3">
      <c r="A343" s="1">
        <v>1.228</v>
      </c>
      <c r="B343" s="1">
        <v>73.44</v>
      </c>
      <c r="D343" s="1">
        <v>1.228</v>
      </c>
      <c r="E343" s="1">
        <v>242.4</v>
      </c>
    </row>
    <row r="344" spans="1:5" x14ac:dyDescent="0.3">
      <c r="A344" s="1">
        <v>1.2310000000000001</v>
      </c>
      <c r="B344" s="1">
        <v>73.540000000000006</v>
      </c>
      <c r="D344" s="1">
        <v>1.2310000000000001</v>
      </c>
      <c r="E344" s="1">
        <v>242.8</v>
      </c>
    </row>
    <row r="345" spans="1:5" x14ac:dyDescent="0.3">
      <c r="A345" s="1">
        <v>1.2350000000000001</v>
      </c>
      <c r="B345" s="1">
        <v>73.64</v>
      </c>
      <c r="D345" s="1">
        <v>1.2350000000000001</v>
      </c>
      <c r="E345" s="1">
        <v>243.1</v>
      </c>
    </row>
    <row r="346" spans="1:5" x14ac:dyDescent="0.3">
      <c r="A346" s="1">
        <v>1.238</v>
      </c>
      <c r="B346" s="1">
        <v>73.739999999999995</v>
      </c>
      <c r="D346" s="1">
        <v>1.238</v>
      </c>
      <c r="E346" s="1">
        <v>243.5</v>
      </c>
    </row>
    <row r="347" spans="1:5" x14ac:dyDescent="0.3">
      <c r="A347" s="1">
        <v>1.242</v>
      </c>
      <c r="B347" s="1">
        <v>73.84</v>
      </c>
      <c r="D347" s="1">
        <v>1.242</v>
      </c>
      <c r="E347" s="1">
        <v>243.9</v>
      </c>
    </row>
    <row r="348" spans="1:5" x14ac:dyDescent="0.3">
      <c r="A348" s="1">
        <v>1.246</v>
      </c>
      <c r="B348" s="1">
        <v>73.94</v>
      </c>
      <c r="D348" s="1">
        <v>1.246</v>
      </c>
      <c r="E348" s="1">
        <v>244.2</v>
      </c>
    </row>
    <row r="349" spans="1:5" x14ac:dyDescent="0.3">
      <c r="A349" s="1">
        <v>1.2490000000000001</v>
      </c>
      <c r="B349" s="1">
        <v>74.040000000000006</v>
      </c>
      <c r="D349" s="1">
        <v>1.2490000000000001</v>
      </c>
      <c r="E349" s="1">
        <v>244.6</v>
      </c>
    </row>
    <row r="350" spans="1:5" x14ac:dyDescent="0.3">
      <c r="A350" s="1">
        <v>1.2529999999999999</v>
      </c>
      <c r="B350" s="1">
        <v>74.14</v>
      </c>
      <c r="D350" s="1">
        <v>1.2529999999999999</v>
      </c>
      <c r="E350" s="1">
        <v>244.9</v>
      </c>
    </row>
    <row r="351" spans="1:5" x14ac:dyDescent="0.3">
      <c r="A351" s="1">
        <v>1.256</v>
      </c>
      <c r="B351" s="1">
        <v>74.239999999999995</v>
      </c>
      <c r="D351" s="1">
        <v>1.256</v>
      </c>
      <c r="E351" s="1">
        <v>245.2</v>
      </c>
    </row>
    <row r="352" spans="1:5" x14ac:dyDescent="0.3">
      <c r="A352" s="1">
        <v>1.26</v>
      </c>
      <c r="B352" s="1">
        <v>74.34</v>
      </c>
      <c r="D352" s="1">
        <v>1.26</v>
      </c>
      <c r="E352" s="1">
        <v>245.6</v>
      </c>
    </row>
    <row r="353" spans="1:5" x14ac:dyDescent="0.3">
      <c r="A353" s="1">
        <v>1.264</v>
      </c>
      <c r="B353" s="1">
        <v>74.44</v>
      </c>
      <c r="D353" s="1">
        <v>1.264</v>
      </c>
      <c r="E353" s="1">
        <v>245.9</v>
      </c>
    </row>
    <row r="354" spans="1:5" x14ac:dyDescent="0.3">
      <c r="A354" s="1">
        <v>1.2669999999999999</v>
      </c>
      <c r="B354" s="1">
        <v>74.53</v>
      </c>
      <c r="D354" s="1">
        <v>1.2669999999999999</v>
      </c>
      <c r="E354" s="1">
        <v>246.2</v>
      </c>
    </row>
    <row r="355" spans="1:5" x14ac:dyDescent="0.3">
      <c r="A355" s="1">
        <v>1.2709999999999999</v>
      </c>
      <c r="B355" s="1">
        <v>74.63</v>
      </c>
      <c r="D355" s="1">
        <v>1.2709999999999999</v>
      </c>
      <c r="E355" s="1">
        <v>246.5</v>
      </c>
    </row>
    <row r="356" spans="1:5" x14ac:dyDescent="0.3">
      <c r="A356" s="1">
        <v>1.274</v>
      </c>
      <c r="B356" s="1">
        <v>74.73</v>
      </c>
      <c r="D356" s="1">
        <v>1.274</v>
      </c>
      <c r="E356" s="1">
        <v>246.8</v>
      </c>
    </row>
    <row r="357" spans="1:5" x14ac:dyDescent="0.3">
      <c r="A357" s="1">
        <v>1.278</v>
      </c>
      <c r="B357" s="1">
        <v>74.83</v>
      </c>
      <c r="D357" s="1">
        <v>1.278</v>
      </c>
      <c r="E357" s="1">
        <v>247.1</v>
      </c>
    </row>
    <row r="358" spans="1:5" x14ac:dyDescent="0.3">
      <c r="A358" s="1">
        <v>1.282</v>
      </c>
      <c r="B358" s="1">
        <v>74.92</v>
      </c>
      <c r="D358" s="1">
        <v>1.282</v>
      </c>
      <c r="E358" s="1">
        <v>247.4</v>
      </c>
    </row>
    <row r="359" spans="1:5" x14ac:dyDescent="0.3">
      <c r="A359" s="1">
        <v>1.2849999999999999</v>
      </c>
      <c r="B359" s="1">
        <v>75.02</v>
      </c>
      <c r="D359" s="1">
        <v>1.2849999999999999</v>
      </c>
      <c r="E359" s="1">
        <v>247.7</v>
      </c>
    </row>
    <row r="360" spans="1:5" x14ac:dyDescent="0.3">
      <c r="A360" s="1">
        <v>1.2889999999999999</v>
      </c>
      <c r="B360" s="1">
        <v>75.12</v>
      </c>
      <c r="D360" s="1">
        <v>1.2889999999999999</v>
      </c>
      <c r="E360" s="1">
        <v>248</v>
      </c>
    </row>
    <row r="361" spans="1:5" x14ac:dyDescent="0.3">
      <c r="A361" s="1">
        <v>1.292</v>
      </c>
      <c r="B361" s="1">
        <v>75.209999999999994</v>
      </c>
      <c r="D361" s="1">
        <v>1.292</v>
      </c>
      <c r="E361" s="1">
        <v>248.2</v>
      </c>
    </row>
    <row r="362" spans="1:5" x14ac:dyDescent="0.3">
      <c r="A362" s="1">
        <v>1.296</v>
      </c>
      <c r="B362" s="1">
        <v>75.31</v>
      </c>
      <c r="D362" s="1">
        <v>1.296</v>
      </c>
      <c r="E362" s="1">
        <v>248.5</v>
      </c>
    </row>
    <row r="363" spans="1:5" x14ac:dyDescent="0.3">
      <c r="A363" s="1">
        <v>1.3</v>
      </c>
      <c r="B363" s="1">
        <v>75.41</v>
      </c>
      <c r="D363" s="1">
        <v>1.3</v>
      </c>
      <c r="E363" s="1">
        <v>248.7</v>
      </c>
    </row>
    <row r="364" spans="1:5" x14ac:dyDescent="0.3">
      <c r="A364" s="1">
        <v>1.3029999999999999</v>
      </c>
      <c r="B364" s="1">
        <v>75.510000000000005</v>
      </c>
      <c r="D364" s="1">
        <v>1.3029999999999999</v>
      </c>
      <c r="E364" s="1">
        <v>249</v>
      </c>
    </row>
    <row r="365" spans="1:5" x14ac:dyDescent="0.3">
      <c r="A365" s="1">
        <v>1.3069999999999999</v>
      </c>
      <c r="B365" s="1">
        <v>75.599999999999994</v>
      </c>
      <c r="D365" s="1">
        <v>1.3069999999999999</v>
      </c>
      <c r="E365" s="1">
        <v>249.2</v>
      </c>
    </row>
    <row r="366" spans="1:5" x14ac:dyDescent="0.3">
      <c r="A366" s="1">
        <v>1.31</v>
      </c>
      <c r="B366" s="1">
        <v>75.7</v>
      </c>
      <c r="D366" s="1">
        <v>1.31</v>
      </c>
      <c r="E366" s="1">
        <v>249.5</v>
      </c>
    </row>
    <row r="367" spans="1:5" x14ac:dyDescent="0.3">
      <c r="A367" s="1">
        <v>1.3140000000000001</v>
      </c>
      <c r="B367" s="1">
        <v>75.8</v>
      </c>
      <c r="D367" s="1">
        <v>1.3140000000000001</v>
      </c>
      <c r="E367" s="1">
        <v>249.7</v>
      </c>
    </row>
    <row r="368" spans="1:5" x14ac:dyDescent="0.3">
      <c r="A368" s="1">
        <v>1.3180000000000001</v>
      </c>
      <c r="B368" s="1">
        <v>75.89</v>
      </c>
      <c r="D368" s="1">
        <v>1.3180000000000001</v>
      </c>
      <c r="E368" s="1">
        <v>249.9</v>
      </c>
    </row>
    <row r="369" spans="1:5" x14ac:dyDescent="0.3">
      <c r="A369" s="1">
        <v>1.321</v>
      </c>
      <c r="B369" s="1">
        <v>75.989999999999995</v>
      </c>
      <c r="D369" s="1">
        <v>1.321</v>
      </c>
      <c r="E369" s="1">
        <v>250.1</v>
      </c>
    </row>
    <row r="370" spans="1:5" x14ac:dyDescent="0.3">
      <c r="A370" s="1">
        <v>1.325</v>
      </c>
      <c r="B370" s="1">
        <v>76.09</v>
      </c>
      <c r="D370" s="1">
        <v>1.325</v>
      </c>
      <c r="E370" s="1">
        <v>250.3</v>
      </c>
    </row>
    <row r="371" spans="1:5" x14ac:dyDescent="0.3">
      <c r="A371" s="1">
        <v>1.3280000000000001</v>
      </c>
      <c r="B371" s="1">
        <v>76.180000000000007</v>
      </c>
      <c r="D371" s="1">
        <v>1.3280000000000001</v>
      </c>
      <c r="E371" s="1">
        <v>250.5</v>
      </c>
    </row>
    <row r="372" spans="1:5" x14ac:dyDescent="0.3">
      <c r="A372" s="1">
        <v>1.3320000000000001</v>
      </c>
      <c r="B372" s="1">
        <v>76.28</v>
      </c>
      <c r="D372" s="1">
        <v>1.3320000000000001</v>
      </c>
      <c r="E372" s="1">
        <v>250.7</v>
      </c>
    </row>
    <row r="373" spans="1:5" x14ac:dyDescent="0.3">
      <c r="A373" s="1">
        <v>1.3360000000000001</v>
      </c>
      <c r="B373" s="1">
        <v>76.38</v>
      </c>
      <c r="D373" s="1">
        <v>1.3360000000000001</v>
      </c>
      <c r="E373" s="1">
        <v>250.9</v>
      </c>
    </row>
    <row r="374" spans="1:5" x14ac:dyDescent="0.3">
      <c r="A374" s="1">
        <v>1.339</v>
      </c>
      <c r="B374" s="1">
        <v>76.48</v>
      </c>
      <c r="D374" s="1">
        <v>1.339</v>
      </c>
      <c r="E374" s="1">
        <v>251</v>
      </c>
    </row>
    <row r="375" spans="1:5" x14ac:dyDescent="0.3">
      <c r="A375" s="1">
        <v>1.343</v>
      </c>
      <c r="B375" s="1">
        <v>76.58</v>
      </c>
      <c r="D375" s="1">
        <v>1.343</v>
      </c>
      <c r="E375" s="1">
        <v>251.2</v>
      </c>
    </row>
    <row r="376" spans="1:5" x14ac:dyDescent="0.3">
      <c r="A376" s="1">
        <v>1.3460000000000001</v>
      </c>
      <c r="B376" s="1">
        <v>76.680000000000007</v>
      </c>
      <c r="D376" s="1">
        <v>1.3460000000000001</v>
      </c>
      <c r="E376" s="1">
        <v>251.4</v>
      </c>
    </row>
    <row r="377" spans="1:5" x14ac:dyDescent="0.3">
      <c r="A377" s="1">
        <v>1.35</v>
      </c>
      <c r="B377" s="1">
        <v>76.78</v>
      </c>
      <c r="D377" s="1">
        <v>1.35</v>
      </c>
      <c r="E377" s="1">
        <v>251.5</v>
      </c>
    </row>
    <row r="378" spans="1:5" x14ac:dyDescent="0.3">
      <c r="A378" s="1">
        <v>1.3540000000000001</v>
      </c>
      <c r="B378" s="1">
        <v>76.88</v>
      </c>
      <c r="D378" s="1">
        <v>1.3540000000000001</v>
      </c>
      <c r="E378" s="1">
        <v>251.7</v>
      </c>
    </row>
    <row r="379" spans="1:5" x14ac:dyDescent="0.3">
      <c r="A379" s="1">
        <v>1.357</v>
      </c>
      <c r="B379" s="1">
        <v>76.98</v>
      </c>
      <c r="D379" s="1">
        <v>1.357</v>
      </c>
      <c r="E379" s="1">
        <v>251.8</v>
      </c>
    </row>
    <row r="380" spans="1:5" x14ac:dyDescent="0.3">
      <c r="A380" s="1">
        <v>1.361</v>
      </c>
      <c r="B380" s="1">
        <v>77.08</v>
      </c>
      <c r="D380" s="1">
        <v>1.361</v>
      </c>
      <c r="E380" s="1">
        <v>252</v>
      </c>
    </row>
    <row r="381" spans="1:5" x14ac:dyDescent="0.3">
      <c r="A381" s="1">
        <v>1.3640000000000001</v>
      </c>
      <c r="B381" s="1">
        <v>77.19</v>
      </c>
      <c r="D381" s="1">
        <v>1.3640000000000001</v>
      </c>
      <c r="E381" s="1">
        <v>252.1</v>
      </c>
    </row>
    <row r="382" spans="1:5" x14ac:dyDescent="0.3">
      <c r="A382" s="1">
        <v>1.3680000000000001</v>
      </c>
      <c r="B382" s="1">
        <v>77.290000000000006</v>
      </c>
      <c r="D382" s="1">
        <v>1.3680000000000001</v>
      </c>
      <c r="E382" s="1">
        <v>252.3</v>
      </c>
    </row>
    <row r="383" spans="1:5" x14ac:dyDescent="0.3">
      <c r="A383" s="1">
        <v>1.3720000000000001</v>
      </c>
      <c r="B383" s="1">
        <v>77.39</v>
      </c>
      <c r="D383" s="1">
        <v>1.3720000000000001</v>
      </c>
      <c r="E383" s="1">
        <v>252.4</v>
      </c>
    </row>
    <row r="384" spans="1:5" x14ac:dyDescent="0.3">
      <c r="A384" s="1">
        <v>1.375</v>
      </c>
      <c r="B384" s="1">
        <v>77.5</v>
      </c>
      <c r="D384" s="1">
        <v>1.375</v>
      </c>
      <c r="E384" s="1">
        <v>252.5</v>
      </c>
    </row>
    <row r="385" spans="1:5" x14ac:dyDescent="0.3">
      <c r="A385" s="1">
        <v>1.379</v>
      </c>
      <c r="B385" s="1">
        <v>77.61</v>
      </c>
      <c r="D385" s="1">
        <v>1.379</v>
      </c>
      <c r="E385" s="1">
        <v>252.6</v>
      </c>
    </row>
    <row r="386" spans="1:5" x14ac:dyDescent="0.3">
      <c r="A386" s="1">
        <v>1.3819999999999999</v>
      </c>
      <c r="B386" s="1">
        <v>77.709999999999994</v>
      </c>
      <c r="D386" s="1">
        <v>1.3819999999999999</v>
      </c>
      <c r="E386" s="1">
        <v>252.8</v>
      </c>
    </row>
    <row r="387" spans="1:5" x14ac:dyDescent="0.3">
      <c r="A387" s="1">
        <v>1.3859999999999999</v>
      </c>
      <c r="B387" s="1">
        <v>77.819999999999993</v>
      </c>
      <c r="D387" s="1">
        <v>1.3859999999999999</v>
      </c>
      <c r="E387" s="1">
        <v>252.9</v>
      </c>
    </row>
    <row r="388" spans="1:5" x14ac:dyDescent="0.3">
      <c r="A388" s="1">
        <v>1.39</v>
      </c>
      <c r="B388" s="1">
        <v>77.930000000000007</v>
      </c>
      <c r="D388" s="1">
        <v>1.39</v>
      </c>
      <c r="E388" s="1">
        <v>253</v>
      </c>
    </row>
    <row r="389" spans="1:5" x14ac:dyDescent="0.3">
      <c r="A389" s="1">
        <v>1.393</v>
      </c>
      <c r="B389" s="1">
        <v>78.040000000000006</v>
      </c>
      <c r="D389" s="1">
        <v>1.393</v>
      </c>
      <c r="E389" s="1">
        <v>253.1</v>
      </c>
    </row>
    <row r="390" spans="1:5" x14ac:dyDescent="0.3">
      <c r="A390" s="1">
        <v>1.397</v>
      </c>
      <c r="B390" s="1">
        <v>78.150000000000006</v>
      </c>
      <c r="D390" s="1">
        <v>1.397</v>
      </c>
      <c r="E390" s="1">
        <v>253.2</v>
      </c>
    </row>
    <row r="391" spans="1:5" x14ac:dyDescent="0.3">
      <c r="A391" s="1">
        <v>1.4</v>
      </c>
      <c r="B391" s="1">
        <v>78.27</v>
      </c>
      <c r="D391" s="1">
        <v>1.4</v>
      </c>
      <c r="E391" s="1">
        <v>253.4</v>
      </c>
    </row>
    <row r="392" spans="1:5" x14ac:dyDescent="0.3">
      <c r="A392" s="1">
        <v>1.4039999999999999</v>
      </c>
      <c r="B392" s="1">
        <v>78.38</v>
      </c>
      <c r="D392" s="1">
        <v>1.4039999999999999</v>
      </c>
      <c r="E392" s="1">
        <v>253.5</v>
      </c>
    </row>
    <row r="393" spans="1:5" x14ac:dyDescent="0.3">
      <c r="A393" s="1">
        <v>1.4079999999999999</v>
      </c>
      <c r="B393" s="1">
        <v>78.489999999999995</v>
      </c>
      <c r="D393" s="1">
        <v>1.4079999999999999</v>
      </c>
      <c r="E393" s="1">
        <v>253.6</v>
      </c>
    </row>
    <row r="394" spans="1:5" x14ac:dyDescent="0.3">
      <c r="A394" s="1">
        <v>1.411</v>
      </c>
      <c r="B394" s="1">
        <v>78.61</v>
      </c>
      <c r="D394" s="1">
        <v>1.411</v>
      </c>
      <c r="E394" s="1">
        <v>253.7</v>
      </c>
    </row>
    <row r="395" spans="1:5" x14ac:dyDescent="0.3">
      <c r="A395" s="1">
        <v>1.415</v>
      </c>
      <c r="B395" s="1">
        <v>78.73</v>
      </c>
      <c r="D395" s="1">
        <v>1.415</v>
      </c>
      <c r="E395" s="1">
        <v>253.8</v>
      </c>
    </row>
    <row r="396" spans="1:5" x14ac:dyDescent="0.3">
      <c r="A396" s="1">
        <v>1.4179999999999999</v>
      </c>
      <c r="B396" s="1">
        <v>78.849999999999994</v>
      </c>
      <c r="D396" s="1">
        <v>1.4179999999999999</v>
      </c>
      <c r="E396" s="1">
        <v>254</v>
      </c>
    </row>
    <row r="397" spans="1:5" x14ac:dyDescent="0.3">
      <c r="A397" s="1">
        <v>1.4219999999999999</v>
      </c>
      <c r="B397" s="1">
        <v>78.97</v>
      </c>
      <c r="D397" s="1">
        <v>1.4219999999999999</v>
      </c>
      <c r="E397" s="1">
        <v>254.1</v>
      </c>
    </row>
    <row r="398" spans="1:5" x14ac:dyDescent="0.3">
      <c r="A398" s="1">
        <v>1.4259999999999999</v>
      </c>
      <c r="B398" s="1">
        <v>79.09</v>
      </c>
      <c r="D398" s="1">
        <v>1.4259999999999999</v>
      </c>
      <c r="E398" s="1">
        <v>254.2</v>
      </c>
    </row>
    <row r="399" spans="1:5" x14ac:dyDescent="0.3">
      <c r="A399" s="1">
        <v>1.429</v>
      </c>
      <c r="B399" s="1">
        <v>79.22</v>
      </c>
      <c r="D399" s="1">
        <v>1.429</v>
      </c>
      <c r="E399" s="1">
        <v>254.4</v>
      </c>
    </row>
    <row r="400" spans="1:5" x14ac:dyDescent="0.3">
      <c r="A400" s="1">
        <v>1.4330000000000001</v>
      </c>
      <c r="B400" s="1">
        <v>79.34</v>
      </c>
      <c r="D400" s="1">
        <v>1.4330000000000001</v>
      </c>
      <c r="E400" s="1">
        <v>254.5</v>
      </c>
    </row>
    <row r="401" spans="1:5" x14ac:dyDescent="0.3">
      <c r="A401" s="1">
        <v>1.4359999999999999</v>
      </c>
      <c r="B401" s="1">
        <v>79.47</v>
      </c>
      <c r="D401" s="1">
        <v>1.4359999999999999</v>
      </c>
      <c r="E401" s="1">
        <v>254.7</v>
      </c>
    </row>
    <row r="402" spans="1:5" x14ac:dyDescent="0.3">
      <c r="A402" s="1">
        <v>1.44</v>
      </c>
      <c r="B402" s="1">
        <v>79.599999999999994</v>
      </c>
      <c r="D402" s="1">
        <v>1.44</v>
      </c>
      <c r="E402" s="1">
        <v>254.8</v>
      </c>
    </row>
    <row r="403" spans="1:5" x14ac:dyDescent="0.3">
      <c r="A403" s="1">
        <v>1.444</v>
      </c>
      <c r="B403" s="1">
        <v>79.73</v>
      </c>
      <c r="D403" s="1">
        <v>1.444</v>
      </c>
      <c r="E403" s="1">
        <v>255</v>
      </c>
    </row>
    <row r="404" spans="1:5" x14ac:dyDescent="0.3">
      <c r="A404" s="1">
        <v>1.4470000000000001</v>
      </c>
      <c r="B404" s="1">
        <v>79.86</v>
      </c>
      <c r="D404" s="1">
        <v>1.4470000000000001</v>
      </c>
      <c r="E404" s="1">
        <v>255.2</v>
      </c>
    </row>
    <row r="405" spans="1:5" x14ac:dyDescent="0.3">
      <c r="A405" s="1">
        <v>1.4510000000000001</v>
      </c>
      <c r="B405" s="1">
        <v>79.989999999999995</v>
      </c>
      <c r="D405" s="1">
        <v>1.4510000000000001</v>
      </c>
      <c r="E405" s="1">
        <v>255.4</v>
      </c>
    </row>
    <row r="406" spans="1:5" x14ac:dyDescent="0.3">
      <c r="A406" s="1">
        <v>1.454</v>
      </c>
      <c r="B406" s="1">
        <v>80.13</v>
      </c>
      <c r="D406" s="1">
        <v>1.454</v>
      </c>
      <c r="E406" s="1">
        <v>255.5</v>
      </c>
    </row>
    <row r="407" spans="1:5" x14ac:dyDescent="0.3">
      <c r="A407" s="1">
        <v>1.458</v>
      </c>
      <c r="B407" s="1">
        <v>80.260000000000005</v>
      </c>
      <c r="D407" s="1">
        <v>1.458</v>
      </c>
      <c r="E407" s="1">
        <v>255.7</v>
      </c>
    </row>
    <row r="408" spans="1:5" x14ac:dyDescent="0.3">
      <c r="A408" s="1">
        <v>1.462</v>
      </c>
      <c r="B408" s="1">
        <v>80.400000000000006</v>
      </c>
      <c r="D408" s="1">
        <v>1.462</v>
      </c>
      <c r="E408" s="1">
        <v>256</v>
      </c>
    </row>
    <row r="409" spans="1:5" x14ac:dyDescent="0.3">
      <c r="A409" s="1">
        <v>1.4650000000000001</v>
      </c>
      <c r="B409" s="1">
        <v>80.540000000000006</v>
      </c>
      <c r="D409" s="1">
        <v>1.4650000000000001</v>
      </c>
      <c r="E409" s="1">
        <v>256.2</v>
      </c>
    </row>
    <row r="410" spans="1:5" x14ac:dyDescent="0.3">
      <c r="A410" s="1">
        <v>1.4690000000000001</v>
      </c>
      <c r="B410" s="1">
        <v>80.680000000000007</v>
      </c>
      <c r="D410" s="1">
        <v>1.4690000000000001</v>
      </c>
      <c r="E410" s="1">
        <v>256.39999999999998</v>
      </c>
    </row>
    <row r="411" spans="1:5" x14ac:dyDescent="0.3">
      <c r="A411" s="1">
        <v>1.472</v>
      </c>
      <c r="B411" s="1">
        <v>80.819999999999993</v>
      </c>
      <c r="D411" s="1">
        <v>1.472</v>
      </c>
      <c r="E411" s="1">
        <v>256.60000000000002</v>
      </c>
    </row>
    <row r="412" spans="1:5" x14ac:dyDescent="0.3">
      <c r="A412" s="1">
        <v>1.476</v>
      </c>
      <c r="B412" s="1">
        <v>80.959999999999994</v>
      </c>
      <c r="D412" s="1">
        <v>1.476</v>
      </c>
      <c r="E412" s="1">
        <v>256.89999999999998</v>
      </c>
    </row>
    <row r="413" spans="1:5" x14ac:dyDescent="0.3">
      <c r="A413" s="1">
        <v>1.48</v>
      </c>
      <c r="B413" s="1">
        <v>81.11</v>
      </c>
      <c r="D413" s="1">
        <v>1.48</v>
      </c>
      <c r="E413" s="1">
        <v>257.2</v>
      </c>
    </row>
    <row r="414" spans="1:5" x14ac:dyDescent="0.3">
      <c r="A414" s="1">
        <v>1.4830000000000001</v>
      </c>
      <c r="B414" s="1">
        <v>81.25</v>
      </c>
      <c r="D414" s="1">
        <v>1.4830000000000001</v>
      </c>
      <c r="E414" s="1">
        <v>257.39999999999998</v>
      </c>
    </row>
    <row r="415" spans="1:5" x14ac:dyDescent="0.3">
      <c r="A415" s="1">
        <v>1.4870000000000001</v>
      </c>
      <c r="B415" s="1">
        <v>81.400000000000006</v>
      </c>
      <c r="D415" s="1">
        <v>1.4870000000000001</v>
      </c>
      <c r="E415" s="1">
        <v>257.7</v>
      </c>
    </row>
    <row r="416" spans="1:5" x14ac:dyDescent="0.3">
      <c r="A416" s="1">
        <v>1.49</v>
      </c>
      <c r="B416" s="1">
        <v>81.55</v>
      </c>
      <c r="D416" s="1">
        <v>1.49</v>
      </c>
      <c r="E416" s="1">
        <v>258</v>
      </c>
    </row>
    <row r="417" spans="1:5" x14ac:dyDescent="0.3">
      <c r="A417" s="1">
        <v>1.494</v>
      </c>
      <c r="B417" s="1">
        <v>81.7</v>
      </c>
      <c r="D417" s="1">
        <v>1.494</v>
      </c>
      <c r="E417" s="1">
        <v>258.39999999999998</v>
      </c>
    </row>
    <row r="418" spans="1:5" x14ac:dyDescent="0.3">
      <c r="A418" s="1">
        <v>1.498</v>
      </c>
      <c r="B418" s="1">
        <v>81.849999999999994</v>
      </c>
      <c r="D418" s="1">
        <v>1.498</v>
      </c>
      <c r="E418" s="1">
        <v>258.7</v>
      </c>
    </row>
    <row r="419" spans="1:5" x14ac:dyDescent="0.3">
      <c r="A419" s="1">
        <v>1.5009999999999999</v>
      </c>
      <c r="B419" s="1">
        <v>82</v>
      </c>
      <c r="D419" s="1">
        <v>1.5009999999999999</v>
      </c>
      <c r="E419" s="1">
        <v>259</v>
      </c>
    </row>
    <row r="420" spans="1:5" x14ac:dyDescent="0.3">
      <c r="A420" s="1">
        <v>1.5049999999999999</v>
      </c>
      <c r="B420" s="1">
        <v>82.15</v>
      </c>
      <c r="D420" s="1">
        <v>1.5049999999999999</v>
      </c>
      <c r="E420" s="1">
        <v>259.39999999999998</v>
      </c>
    </row>
    <row r="421" spans="1:5" x14ac:dyDescent="0.3">
      <c r="A421" s="1">
        <v>1.508</v>
      </c>
      <c r="B421" s="1">
        <v>82.3</v>
      </c>
      <c r="D421" s="1">
        <v>1.508</v>
      </c>
      <c r="E421" s="1">
        <v>259.8</v>
      </c>
    </row>
    <row r="422" spans="1:5" x14ac:dyDescent="0.3">
      <c r="A422" s="1">
        <v>1.512</v>
      </c>
      <c r="B422" s="1">
        <v>82.45</v>
      </c>
      <c r="D422" s="1">
        <v>1.512</v>
      </c>
      <c r="E422" s="1">
        <v>260.2</v>
      </c>
    </row>
    <row r="423" spans="1:5" x14ac:dyDescent="0.3">
      <c r="A423" s="1">
        <v>1.516</v>
      </c>
      <c r="B423" s="1">
        <v>82.61</v>
      </c>
      <c r="D423" s="1">
        <v>1.516</v>
      </c>
      <c r="E423" s="1">
        <v>260.60000000000002</v>
      </c>
    </row>
    <row r="424" spans="1:5" x14ac:dyDescent="0.3">
      <c r="A424" s="1">
        <v>1.5189999999999999</v>
      </c>
      <c r="B424" s="1">
        <v>82.76</v>
      </c>
      <c r="D424" s="1">
        <v>1.5189999999999999</v>
      </c>
      <c r="E424" s="1">
        <v>261</v>
      </c>
    </row>
    <row r="425" spans="1:5" x14ac:dyDescent="0.3">
      <c r="A425" s="1">
        <v>1.5229999999999999</v>
      </c>
      <c r="B425" s="1">
        <v>82.91</v>
      </c>
      <c r="D425" s="1">
        <v>1.5229999999999999</v>
      </c>
      <c r="E425" s="1">
        <v>261.39999999999998</v>
      </c>
    </row>
    <row r="426" spans="1:5" x14ac:dyDescent="0.3">
      <c r="A426" s="1">
        <v>1.526</v>
      </c>
      <c r="B426" s="1">
        <v>83.07</v>
      </c>
      <c r="D426" s="1">
        <v>1.526</v>
      </c>
      <c r="E426" s="1">
        <v>261.89999999999998</v>
      </c>
    </row>
    <row r="427" spans="1:5" x14ac:dyDescent="0.3">
      <c r="A427" s="1">
        <v>1.53</v>
      </c>
      <c r="B427" s="1">
        <v>83.22</v>
      </c>
      <c r="D427" s="1">
        <v>1.53</v>
      </c>
      <c r="E427" s="1">
        <v>262.39999999999998</v>
      </c>
    </row>
    <row r="428" spans="1:5" x14ac:dyDescent="0.3">
      <c r="A428" s="1">
        <v>1.534</v>
      </c>
      <c r="B428" s="1">
        <v>83.38</v>
      </c>
      <c r="D428" s="1">
        <v>1.534</v>
      </c>
      <c r="E428" s="1">
        <v>262.8</v>
      </c>
    </row>
    <row r="429" spans="1:5" x14ac:dyDescent="0.3">
      <c r="A429" s="1">
        <v>1.5369999999999999</v>
      </c>
      <c r="B429" s="1">
        <v>83.53</v>
      </c>
      <c r="D429" s="1">
        <v>1.5369999999999999</v>
      </c>
      <c r="E429" s="1">
        <v>263.3</v>
      </c>
    </row>
    <row r="430" spans="1:5" x14ac:dyDescent="0.3">
      <c r="A430" s="1">
        <v>1.5409999999999999</v>
      </c>
      <c r="B430" s="1">
        <v>83.69</v>
      </c>
      <c r="D430" s="1">
        <v>1.5409999999999999</v>
      </c>
      <c r="E430" s="1">
        <v>263.89999999999998</v>
      </c>
    </row>
    <row r="431" spans="1:5" x14ac:dyDescent="0.3">
      <c r="A431" s="1">
        <v>1.544</v>
      </c>
      <c r="B431" s="1">
        <v>83.84</v>
      </c>
      <c r="D431" s="1">
        <v>1.544</v>
      </c>
      <c r="E431" s="1">
        <v>264.39999999999998</v>
      </c>
    </row>
    <row r="432" spans="1:5" x14ac:dyDescent="0.3">
      <c r="A432" s="1">
        <v>1.548</v>
      </c>
      <c r="B432" s="1">
        <v>83.99</v>
      </c>
      <c r="D432" s="1">
        <v>1.548</v>
      </c>
      <c r="E432" s="1">
        <v>264.89999999999998</v>
      </c>
    </row>
    <row r="433" spans="1:5" x14ac:dyDescent="0.3">
      <c r="A433" s="1">
        <v>1.552</v>
      </c>
      <c r="B433" s="1">
        <v>84.14</v>
      </c>
      <c r="D433" s="1">
        <v>1.552</v>
      </c>
      <c r="E433" s="1">
        <v>265.5</v>
      </c>
    </row>
    <row r="434" spans="1:5" x14ac:dyDescent="0.3">
      <c r="A434" s="1">
        <v>1.5549999999999999</v>
      </c>
      <c r="B434" s="1">
        <v>84.29</v>
      </c>
      <c r="D434" s="1">
        <v>1.5549999999999999</v>
      </c>
      <c r="E434" s="1">
        <v>266.10000000000002</v>
      </c>
    </row>
    <row r="435" spans="1:5" x14ac:dyDescent="0.3">
      <c r="A435" s="1">
        <v>1.5589999999999999</v>
      </c>
      <c r="B435" s="1">
        <v>84.44</v>
      </c>
      <c r="D435" s="1">
        <v>1.5589999999999999</v>
      </c>
      <c r="E435" s="1">
        <v>266.60000000000002</v>
      </c>
    </row>
    <row r="436" spans="1:5" x14ac:dyDescent="0.3">
      <c r="A436" s="1">
        <v>1.5620000000000001</v>
      </c>
      <c r="B436" s="1">
        <v>84.59</v>
      </c>
      <c r="D436" s="1">
        <v>1.5620000000000001</v>
      </c>
      <c r="E436" s="1">
        <v>267.2</v>
      </c>
    </row>
    <row r="437" spans="1:5" x14ac:dyDescent="0.3">
      <c r="A437" s="1">
        <v>1.5660000000000001</v>
      </c>
      <c r="B437" s="1">
        <v>84.74</v>
      </c>
      <c r="D437" s="1">
        <v>1.5660000000000001</v>
      </c>
      <c r="E437" s="1">
        <v>267.89999999999998</v>
      </c>
    </row>
    <row r="438" spans="1:5" x14ac:dyDescent="0.3">
      <c r="A438" s="1">
        <v>1.57</v>
      </c>
      <c r="B438" s="1">
        <v>84.89</v>
      </c>
      <c r="D438" s="1">
        <v>1.57</v>
      </c>
      <c r="E438" s="1">
        <v>268.5</v>
      </c>
    </row>
    <row r="439" spans="1:5" x14ac:dyDescent="0.3">
      <c r="A439" s="1">
        <v>1.573</v>
      </c>
      <c r="B439" s="1">
        <v>85.03</v>
      </c>
      <c r="D439" s="1">
        <v>1.573</v>
      </c>
      <c r="E439" s="1">
        <v>269.10000000000002</v>
      </c>
    </row>
    <row r="440" spans="1:5" x14ac:dyDescent="0.3">
      <c r="A440" s="1">
        <v>1.577</v>
      </c>
      <c r="B440" s="1">
        <v>85.17</v>
      </c>
      <c r="D440" s="1">
        <v>1.577</v>
      </c>
      <c r="E440" s="1">
        <v>269.8</v>
      </c>
    </row>
    <row r="441" spans="1:5" x14ac:dyDescent="0.3">
      <c r="A441" s="1">
        <v>1.58</v>
      </c>
      <c r="B441" s="1">
        <v>85.31</v>
      </c>
      <c r="D441" s="1">
        <v>1.58</v>
      </c>
      <c r="E441" s="1">
        <v>270.5</v>
      </c>
    </row>
    <row r="442" spans="1:5" x14ac:dyDescent="0.3">
      <c r="A442" s="1">
        <v>1.5840000000000001</v>
      </c>
      <c r="B442" s="1">
        <v>85.45</v>
      </c>
      <c r="D442" s="1">
        <v>1.5840000000000001</v>
      </c>
      <c r="E442" s="1">
        <v>271.10000000000002</v>
      </c>
    </row>
    <row r="443" spans="1:5" x14ac:dyDescent="0.3">
      <c r="A443" s="1">
        <v>1.5880000000000001</v>
      </c>
      <c r="B443" s="1">
        <v>85.59</v>
      </c>
      <c r="D443" s="1">
        <v>1.5880000000000001</v>
      </c>
      <c r="E443" s="1">
        <v>271.8</v>
      </c>
    </row>
    <row r="444" spans="1:5" x14ac:dyDescent="0.3">
      <c r="A444" s="1">
        <v>1.591</v>
      </c>
      <c r="B444" s="1">
        <v>85.72</v>
      </c>
      <c r="D444" s="1">
        <v>1.591</v>
      </c>
      <c r="E444" s="1">
        <v>272.5</v>
      </c>
    </row>
    <row r="445" spans="1:5" x14ac:dyDescent="0.3">
      <c r="A445" s="1">
        <v>1.595</v>
      </c>
      <c r="B445" s="1">
        <v>85.85</v>
      </c>
      <c r="D445" s="1">
        <v>1.595</v>
      </c>
      <c r="E445" s="1">
        <v>273.2</v>
      </c>
    </row>
    <row r="446" spans="1:5" x14ac:dyDescent="0.3">
      <c r="A446" s="1">
        <v>1.5980000000000001</v>
      </c>
      <c r="B446" s="1">
        <v>85.98</v>
      </c>
      <c r="D446" s="1">
        <v>1.5980000000000001</v>
      </c>
      <c r="E446" s="1">
        <v>274</v>
      </c>
    </row>
    <row r="447" spans="1:5" x14ac:dyDescent="0.3">
      <c r="A447" s="1">
        <v>1.6020000000000001</v>
      </c>
      <c r="B447" s="1">
        <v>86.11</v>
      </c>
      <c r="D447" s="1">
        <v>1.6020000000000001</v>
      </c>
      <c r="E447" s="1">
        <v>274.7</v>
      </c>
    </row>
    <row r="448" spans="1:5" x14ac:dyDescent="0.3">
      <c r="A448" s="1">
        <v>1.6060000000000001</v>
      </c>
      <c r="B448" s="1">
        <v>86.23</v>
      </c>
      <c r="D448" s="1">
        <v>1.6060000000000001</v>
      </c>
      <c r="E448" s="1">
        <v>275.5</v>
      </c>
    </row>
    <row r="449" spans="1:5" x14ac:dyDescent="0.3">
      <c r="A449" s="1">
        <v>1.609</v>
      </c>
      <c r="B449" s="1">
        <v>86.35</v>
      </c>
      <c r="D449" s="1">
        <v>1.609</v>
      </c>
      <c r="E449" s="1">
        <v>276.2</v>
      </c>
    </row>
    <row r="450" spans="1:5" x14ac:dyDescent="0.3">
      <c r="A450" s="1">
        <v>1.613</v>
      </c>
      <c r="B450" s="1">
        <v>86.47</v>
      </c>
      <c r="D450" s="1">
        <v>1.613</v>
      </c>
      <c r="E450" s="1">
        <v>277</v>
      </c>
    </row>
    <row r="451" spans="1:5" x14ac:dyDescent="0.3">
      <c r="A451" s="1">
        <v>1.6160000000000001</v>
      </c>
      <c r="B451" s="1">
        <v>86.59</v>
      </c>
      <c r="D451" s="1">
        <v>1.6160000000000001</v>
      </c>
      <c r="E451" s="1">
        <v>277.8</v>
      </c>
    </row>
    <row r="452" spans="1:5" x14ac:dyDescent="0.3">
      <c r="A452" s="1">
        <v>1.62</v>
      </c>
      <c r="B452" s="1">
        <v>86.7</v>
      </c>
      <c r="D452" s="1">
        <v>1.62</v>
      </c>
      <c r="E452" s="1">
        <v>278.60000000000002</v>
      </c>
    </row>
    <row r="453" spans="1:5" x14ac:dyDescent="0.3">
      <c r="A453" s="1">
        <v>1.6240000000000001</v>
      </c>
      <c r="B453" s="1">
        <v>86.81</v>
      </c>
      <c r="D453" s="1">
        <v>1.6240000000000001</v>
      </c>
      <c r="E453" s="1">
        <v>279.39999999999998</v>
      </c>
    </row>
    <row r="454" spans="1:5" x14ac:dyDescent="0.3">
      <c r="A454" s="1">
        <v>1.627</v>
      </c>
      <c r="B454" s="1">
        <v>86.92</v>
      </c>
      <c r="D454" s="1">
        <v>1.627</v>
      </c>
      <c r="E454" s="1">
        <v>280.2</v>
      </c>
    </row>
    <row r="455" spans="1:5" x14ac:dyDescent="0.3">
      <c r="A455" s="1">
        <v>1.631</v>
      </c>
      <c r="B455" s="1">
        <v>87.03</v>
      </c>
      <c r="D455" s="1">
        <v>1.631</v>
      </c>
      <c r="E455" s="1">
        <v>281</v>
      </c>
    </row>
    <row r="456" spans="1:5" x14ac:dyDescent="0.3">
      <c r="A456" s="1">
        <v>1.6339999999999999</v>
      </c>
      <c r="B456" s="1">
        <v>87.13</v>
      </c>
      <c r="D456" s="1">
        <v>1.6339999999999999</v>
      </c>
      <c r="E456" s="1">
        <v>281.89999999999998</v>
      </c>
    </row>
    <row r="457" spans="1:5" x14ac:dyDescent="0.3">
      <c r="A457" s="1">
        <v>1.6379999999999999</v>
      </c>
      <c r="B457" s="1">
        <v>87.23</v>
      </c>
      <c r="D457" s="1">
        <v>1.6379999999999999</v>
      </c>
      <c r="E457" s="1">
        <v>282.7</v>
      </c>
    </row>
    <row r="458" spans="1:5" x14ac:dyDescent="0.3">
      <c r="A458" s="1">
        <v>1.6419999999999999</v>
      </c>
      <c r="B458" s="1">
        <v>87.33</v>
      </c>
      <c r="D458" s="1">
        <v>1.6419999999999999</v>
      </c>
      <c r="E458" s="1">
        <v>283.60000000000002</v>
      </c>
    </row>
    <row r="459" spans="1:5" x14ac:dyDescent="0.3">
      <c r="A459" s="1">
        <v>1.645</v>
      </c>
      <c r="B459" s="1">
        <v>87.43</v>
      </c>
      <c r="D459" s="1">
        <v>1.645</v>
      </c>
      <c r="E459" s="1">
        <v>284.5</v>
      </c>
    </row>
    <row r="460" spans="1:5" x14ac:dyDescent="0.3">
      <c r="A460" s="1">
        <v>1.649</v>
      </c>
      <c r="B460" s="1">
        <v>87.53</v>
      </c>
      <c r="D460" s="1">
        <v>1.649</v>
      </c>
      <c r="E460" s="1">
        <v>285.39999999999998</v>
      </c>
    </row>
    <row r="461" spans="1:5" x14ac:dyDescent="0.3">
      <c r="A461" s="1">
        <v>1.6519999999999999</v>
      </c>
      <c r="B461" s="1">
        <v>87.63</v>
      </c>
      <c r="D461" s="1">
        <v>1.6519999999999999</v>
      </c>
      <c r="E461" s="1">
        <v>286.3</v>
      </c>
    </row>
    <row r="462" spans="1:5" x14ac:dyDescent="0.3">
      <c r="A462" s="1">
        <v>1.6559999999999999</v>
      </c>
      <c r="B462" s="1">
        <v>87.72</v>
      </c>
      <c r="D462" s="1">
        <v>1.6559999999999999</v>
      </c>
      <c r="E462" s="1">
        <v>287.3</v>
      </c>
    </row>
    <row r="463" spans="1:5" x14ac:dyDescent="0.3">
      <c r="A463" s="1">
        <v>1.66</v>
      </c>
      <c r="B463" s="1">
        <v>87.82</v>
      </c>
      <c r="D463" s="1">
        <v>1.66</v>
      </c>
      <c r="E463" s="1">
        <v>288.3</v>
      </c>
    </row>
    <row r="464" spans="1:5" x14ac:dyDescent="0.3">
      <c r="A464" s="1">
        <v>1.663</v>
      </c>
      <c r="B464" s="1">
        <v>87.92</v>
      </c>
      <c r="D464" s="1">
        <v>1.663</v>
      </c>
      <c r="E464" s="1">
        <v>289.3</v>
      </c>
    </row>
    <row r="465" spans="1:5" x14ac:dyDescent="0.3">
      <c r="A465" s="1">
        <v>1.667</v>
      </c>
      <c r="B465" s="1">
        <v>88.01</v>
      </c>
      <c r="D465" s="1">
        <v>1.667</v>
      </c>
      <c r="E465" s="1">
        <v>290.3</v>
      </c>
    </row>
    <row r="466" spans="1:5" x14ac:dyDescent="0.3">
      <c r="A466" s="1">
        <v>1.67</v>
      </c>
      <c r="B466" s="1">
        <v>88.11</v>
      </c>
      <c r="D466" s="1">
        <v>1.67</v>
      </c>
      <c r="E466" s="1">
        <v>291.39999999999998</v>
      </c>
    </row>
    <row r="467" spans="1:5" x14ac:dyDescent="0.3">
      <c r="A467" s="1">
        <v>1.6739999999999999</v>
      </c>
      <c r="B467" s="1">
        <v>88.22</v>
      </c>
      <c r="D467" s="1">
        <v>1.6739999999999999</v>
      </c>
      <c r="E467" s="1">
        <v>292.60000000000002</v>
      </c>
    </row>
    <row r="468" spans="1:5" x14ac:dyDescent="0.3">
      <c r="A468" s="1">
        <v>1.6779999999999999</v>
      </c>
      <c r="B468" s="1">
        <v>88.32</v>
      </c>
      <c r="D468" s="1">
        <v>1.6779999999999999</v>
      </c>
      <c r="E468" s="1">
        <v>293.7</v>
      </c>
    </row>
    <row r="469" spans="1:5" x14ac:dyDescent="0.3">
      <c r="A469" s="1">
        <v>1.681</v>
      </c>
      <c r="B469" s="1">
        <v>88.43</v>
      </c>
      <c r="D469" s="1">
        <v>1.681</v>
      </c>
      <c r="E469" s="1">
        <v>294.89999999999998</v>
      </c>
    </row>
    <row r="470" spans="1:5" x14ac:dyDescent="0.3">
      <c r="A470" s="1">
        <v>1.6850000000000001</v>
      </c>
      <c r="B470" s="1">
        <v>88.55</v>
      </c>
      <c r="D470" s="1">
        <v>1.6850000000000001</v>
      </c>
      <c r="E470" s="1">
        <v>296.2</v>
      </c>
    </row>
    <row r="471" spans="1:5" x14ac:dyDescent="0.3">
      <c r="A471" s="1">
        <v>1.6879999999999999</v>
      </c>
      <c r="B471" s="1">
        <v>88.67</v>
      </c>
      <c r="D471" s="1">
        <v>1.6879999999999999</v>
      </c>
      <c r="E471" s="1">
        <v>297.60000000000002</v>
      </c>
    </row>
    <row r="472" spans="1:5" x14ac:dyDescent="0.3">
      <c r="A472" s="1">
        <v>1.6919999999999999</v>
      </c>
      <c r="B472" s="1">
        <v>88.81</v>
      </c>
      <c r="D472" s="1">
        <v>1.6919999999999999</v>
      </c>
      <c r="E472" s="1">
        <v>299</v>
      </c>
    </row>
    <row r="473" spans="1:5" x14ac:dyDescent="0.3">
      <c r="A473" s="1">
        <v>1.696</v>
      </c>
      <c r="B473" s="1">
        <v>88.95</v>
      </c>
      <c r="D473" s="1">
        <v>1.696</v>
      </c>
      <c r="E473" s="1">
        <v>300.5</v>
      </c>
    </row>
    <row r="474" spans="1:5" x14ac:dyDescent="0.3">
      <c r="A474" s="1">
        <v>1.6990000000000001</v>
      </c>
      <c r="B474" s="1">
        <v>89.1</v>
      </c>
      <c r="D474" s="1">
        <v>1.6990000000000001</v>
      </c>
      <c r="E474" s="1">
        <v>302</v>
      </c>
    </row>
    <row r="475" spans="1:5" x14ac:dyDescent="0.3">
      <c r="A475" s="1">
        <v>1.7030000000000001</v>
      </c>
      <c r="B475" s="1">
        <v>89.26</v>
      </c>
      <c r="D475" s="1">
        <v>1.7030000000000001</v>
      </c>
      <c r="E475" s="1">
        <v>303.7</v>
      </c>
    </row>
    <row r="476" spans="1:5" x14ac:dyDescent="0.3">
      <c r="A476" s="1">
        <v>1.706</v>
      </c>
      <c r="B476" s="1">
        <v>89.44</v>
      </c>
      <c r="D476" s="1">
        <v>1.706</v>
      </c>
      <c r="E476" s="1">
        <v>305.5</v>
      </c>
    </row>
    <row r="477" spans="1:5" x14ac:dyDescent="0.3">
      <c r="A477" s="1">
        <v>1.71</v>
      </c>
      <c r="B477" s="1">
        <v>89.64</v>
      </c>
      <c r="D477" s="1">
        <v>1.71</v>
      </c>
      <c r="E477" s="1">
        <v>307.39999999999998</v>
      </c>
    </row>
    <row r="478" spans="1:5" x14ac:dyDescent="0.3">
      <c r="A478" s="1">
        <v>1.714</v>
      </c>
      <c r="B478" s="1">
        <v>89.85</v>
      </c>
      <c r="D478" s="1">
        <v>1.714</v>
      </c>
      <c r="E478" s="1">
        <v>309.39999999999998</v>
      </c>
    </row>
    <row r="479" spans="1:5" x14ac:dyDescent="0.3">
      <c r="A479" s="1">
        <v>1.7170000000000001</v>
      </c>
      <c r="B479" s="1">
        <v>90.08</v>
      </c>
      <c r="D479" s="1">
        <v>1.7170000000000001</v>
      </c>
      <c r="E479" s="1">
        <v>311.60000000000002</v>
      </c>
    </row>
    <row r="480" spans="1:5" x14ac:dyDescent="0.3">
      <c r="A480" s="1">
        <v>1.7210000000000001</v>
      </c>
      <c r="B480" s="1">
        <v>90.34</v>
      </c>
      <c r="D480" s="1">
        <v>1.7210000000000001</v>
      </c>
      <c r="E480" s="1">
        <v>313.89999999999998</v>
      </c>
    </row>
    <row r="481" spans="1:5" x14ac:dyDescent="0.3">
      <c r="A481" s="1">
        <v>1.724</v>
      </c>
      <c r="B481" s="1">
        <v>90.62</v>
      </c>
      <c r="D481" s="1">
        <v>1.724</v>
      </c>
      <c r="E481" s="1">
        <v>316.39999999999998</v>
      </c>
    </row>
    <row r="482" spans="1:5" x14ac:dyDescent="0.3">
      <c r="A482" s="1">
        <v>1.728</v>
      </c>
      <c r="B482" s="1">
        <v>90.93</v>
      </c>
      <c r="D482" s="1">
        <v>1.728</v>
      </c>
      <c r="E482" s="1">
        <v>319.10000000000002</v>
      </c>
    </row>
    <row r="483" spans="1:5" x14ac:dyDescent="0.3">
      <c r="A483" s="1">
        <v>1.732</v>
      </c>
      <c r="B483" s="1">
        <v>91.27</v>
      </c>
      <c r="D483" s="1">
        <v>1.732</v>
      </c>
      <c r="E483" s="1">
        <v>322</v>
      </c>
    </row>
    <row r="484" spans="1:5" x14ac:dyDescent="0.3">
      <c r="A484" s="1">
        <v>1.7350000000000001</v>
      </c>
      <c r="B484" s="1">
        <v>91.65</v>
      </c>
      <c r="D484" s="1">
        <v>1.7350000000000001</v>
      </c>
      <c r="E484" s="1">
        <v>325.10000000000002</v>
      </c>
    </row>
    <row r="485" spans="1:5" x14ac:dyDescent="0.3">
      <c r="A485" s="1">
        <v>1.7390000000000001</v>
      </c>
      <c r="B485" s="1">
        <v>92.06</v>
      </c>
      <c r="D485" s="1">
        <v>1.7390000000000001</v>
      </c>
      <c r="E485" s="1">
        <v>328.5</v>
      </c>
    </row>
    <row r="486" spans="1:5" x14ac:dyDescent="0.3">
      <c r="A486" s="1">
        <v>1.742</v>
      </c>
      <c r="B486" s="1">
        <v>92.51</v>
      </c>
      <c r="D486" s="1">
        <v>1.742</v>
      </c>
      <c r="E486" s="1">
        <v>332.1</v>
      </c>
    </row>
    <row r="487" spans="1:5" x14ac:dyDescent="0.3">
      <c r="A487" s="1">
        <v>1.746</v>
      </c>
      <c r="B487" s="1">
        <v>93.01</v>
      </c>
      <c r="D487" s="1">
        <v>1.746</v>
      </c>
      <c r="E487" s="1">
        <v>336.1</v>
      </c>
    </row>
    <row r="488" spans="1:5" x14ac:dyDescent="0.3">
      <c r="A488" s="1">
        <v>1.75</v>
      </c>
      <c r="B488" s="1">
        <v>93.56</v>
      </c>
      <c r="D488" s="1">
        <v>1.75</v>
      </c>
      <c r="E488" s="1">
        <v>340.3</v>
      </c>
    </row>
    <row r="489" spans="1:5" x14ac:dyDescent="0.3">
      <c r="A489" s="1">
        <v>1.7529999999999999</v>
      </c>
      <c r="B489" s="1">
        <v>94.16</v>
      </c>
      <c r="D489" s="1">
        <v>1.7529999999999999</v>
      </c>
      <c r="E489" s="1">
        <v>344.9</v>
      </c>
    </row>
    <row r="490" spans="1:5" x14ac:dyDescent="0.3">
      <c r="A490" s="1">
        <v>1.7569999999999999</v>
      </c>
      <c r="B490" s="1">
        <v>94.81</v>
      </c>
      <c r="D490" s="1">
        <v>1.7569999999999999</v>
      </c>
      <c r="E490" s="1">
        <v>349.9</v>
      </c>
    </row>
    <row r="491" spans="1:5" x14ac:dyDescent="0.3">
      <c r="A491" s="1">
        <v>1.76</v>
      </c>
      <c r="B491" s="1">
        <v>95.53</v>
      </c>
      <c r="D491" s="1">
        <v>1.76</v>
      </c>
      <c r="E491" s="1">
        <v>355.3</v>
      </c>
    </row>
    <row r="492" spans="1:5" x14ac:dyDescent="0.3">
      <c r="A492" s="1">
        <v>1.764</v>
      </c>
      <c r="B492" s="1">
        <v>96.32</v>
      </c>
      <c r="D492" s="1">
        <v>1.764</v>
      </c>
      <c r="E492" s="1">
        <v>361.2</v>
      </c>
    </row>
    <row r="493" spans="1:5" x14ac:dyDescent="0.3">
      <c r="A493" s="1">
        <v>1.768</v>
      </c>
      <c r="B493" s="1">
        <v>97.18</v>
      </c>
      <c r="D493" s="1">
        <v>1.768</v>
      </c>
      <c r="E493" s="1">
        <v>367.5</v>
      </c>
    </row>
    <row r="494" spans="1:5" x14ac:dyDescent="0.3">
      <c r="A494" s="1">
        <v>1.7709999999999999</v>
      </c>
      <c r="B494" s="1">
        <v>98.13</v>
      </c>
      <c r="D494" s="1">
        <v>1.7709999999999999</v>
      </c>
      <c r="E494" s="1">
        <v>374.3</v>
      </c>
    </row>
    <row r="495" spans="1:5" x14ac:dyDescent="0.3">
      <c r="A495" s="1">
        <v>1.7749999999999999</v>
      </c>
      <c r="B495" s="1">
        <v>99.15</v>
      </c>
      <c r="D495" s="1">
        <v>1.7749999999999999</v>
      </c>
      <c r="E495" s="1">
        <v>381.7</v>
      </c>
    </row>
    <row r="496" spans="1:5" x14ac:dyDescent="0.3">
      <c r="A496" s="1">
        <v>1.778</v>
      </c>
      <c r="B496" s="1">
        <v>100.3</v>
      </c>
      <c r="D496" s="1">
        <v>1.778</v>
      </c>
      <c r="E496" s="1">
        <v>389.7</v>
      </c>
    </row>
    <row r="497" spans="1:5" x14ac:dyDescent="0.3">
      <c r="A497" s="1">
        <v>1.782</v>
      </c>
      <c r="B497" s="1">
        <v>101.5</v>
      </c>
      <c r="D497" s="1">
        <v>1.782</v>
      </c>
      <c r="E497" s="1">
        <v>398.4</v>
      </c>
    </row>
    <row r="498" spans="1:5" x14ac:dyDescent="0.3">
      <c r="A498" s="1">
        <v>1.786</v>
      </c>
      <c r="B498" s="1">
        <v>102.8</v>
      </c>
      <c r="D498" s="1">
        <v>1.786</v>
      </c>
      <c r="E498" s="1">
        <v>407.7</v>
      </c>
    </row>
    <row r="499" spans="1:5" x14ac:dyDescent="0.3">
      <c r="A499" s="1">
        <v>1.7889999999999999</v>
      </c>
      <c r="B499" s="1">
        <v>104.2</v>
      </c>
      <c r="D499" s="1">
        <v>1.7889999999999999</v>
      </c>
      <c r="E499" s="1">
        <v>417.8</v>
      </c>
    </row>
    <row r="500" spans="1:5" x14ac:dyDescent="0.3">
      <c r="A500" s="1">
        <v>1.7929999999999999</v>
      </c>
      <c r="B500" s="1">
        <v>105.8</v>
      </c>
      <c r="D500" s="1">
        <v>1.7929999999999999</v>
      </c>
      <c r="E500" s="1">
        <v>428.8</v>
      </c>
    </row>
    <row r="501" spans="1:5" x14ac:dyDescent="0.3">
      <c r="A501" s="1">
        <v>1.796</v>
      </c>
      <c r="B501" s="1">
        <v>107.5</v>
      </c>
      <c r="D501" s="1">
        <v>1.796</v>
      </c>
      <c r="E501" s="1">
        <v>440.5</v>
      </c>
    </row>
    <row r="502" spans="1:5" x14ac:dyDescent="0.3">
      <c r="A502" s="1">
        <v>1.8</v>
      </c>
      <c r="B502" s="1">
        <v>109.3</v>
      </c>
      <c r="D502" s="1">
        <v>1.8</v>
      </c>
      <c r="E502" s="1">
        <v>453.2</v>
      </c>
    </row>
    <row r="503" spans="1:5" x14ac:dyDescent="0.3">
      <c r="A503" s="1">
        <v>1.804</v>
      </c>
      <c r="B503" s="1">
        <v>111.3</v>
      </c>
      <c r="D503" s="1">
        <v>1.804</v>
      </c>
      <c r="E503" s="1">
        <v>467</v>
      </c>
    </row>
    <row r="504" spans="1:5" x14ac:dyDescent="0.3">
      <c r="A504" s="1">
        <v>1.8069999999999999</v>
      </c>
      <c r="B504" s="1">
        <v>113.4</v>
      </c>
      <c r="D504" s="1">
        <v>1.8069999999999999</v>
      </c>
      <c r="E504" s="1">
        <v>481.7</v>
      </c>
    </row>
    <row r="505" spans="1:5" x14ac:dyDescent="0.3">
      <c r="A505" s="1">
        <v>1.8109999999999999</v>
      </c>
      <c r="B505" s="1">
        <v>115.7</v>
      </c>
      <c r="D505" s="1">
        <v>1.8109999999999999</v>
      </c>
      <c r="E505" s="1">
        <v>497.6</v>
      </c>
    </row>
    <row r="506" spans="1:5" x14ac:dyDescent="0.3">
      <c r="A506" s="1">
        <v>1.8140000000000001</v>
      </c>
      <c r="B506" s="1">
        <v>118.2</v>
      </c>
      <c r="D506" s="1">
        <v>1.8140000000000001</v>
      </c>
      <c r="E506" s="1">
        <v>514.79999999999995</v>
      </c>
    </row>
    <row r="507" spans="1:5" x14ac:dyDescent="0.3">
      <c r="A507" s="1">
        <v>1.8180000000000001</v>
      </c>
      <c r="B507" s="1">
        <v>120.9</v>
      </c>
      <c r="D507" s="1">
        <v>1.8180000000000001</v>
      </c>
      <c r="E507" s="1">
        <v>533.20000000000005</v>
      </c>
    </row>
    <row r="508" spans="1:5" x14ac:dyDescent="0.3">
      <c r="A508" s="1">
        <v>1.8220000000000001</v>
      </c>
      <c r="B508" s="1">
        <v>123.8</v>
      </c>
      <c r="D508" s="1">
        <v>1.8220000000000001</v>
      </c>
      <c r="E508" s="1">
        <v>553</v>
      </c>
    </row>
    <row r="509" spans="1:5" x14ac:dyDescent="0.3">
      <c r="A509" s="1">
        <v>1.825</v>
      </c>
      <c r="B509" s="1">
        <v>126.9</v>
      </c>
      <c r="D509" s="1">
        <v>1.825</v>
      </c>
      <c r="E509" s="1">
        <v>574.29999999999995</v>
      </c>
    </row>
    <row r="510" spans="1:5" x14ac:dyDescent="0.3">
      <c r="A510" s="1">
        <v>1.829</v>
      </c>
      <c r="B510" s="1">
        <v>130.19999999999999</v>
      </c>
      <c r="D510" s="1">
        <v>1.829</v>
      </c>
      <c r="E510" s="1">
        <v>597.1</v>
      </c>
    </row>
    <row r="511" spans="1:5" x14ac:dyDescent="0.3">
      <c r="A511" s="1">
        <v>1.8320000000000001</v>
      </c>
      <c r="B511" s="1">
        <v>133.80000000000001</v>
      </c>
      <c r="D511" s="1">
        <v>1.8320000000000001</v>
      </c>
      <c r="E511" s="1">
        <v>621.70000000000005</v>
      </c>
    </row>
    <row r="512" spans="1:5" x14ac:dyDescent="0.3">
      <c r="A512" s="1">
        <v>1.8360000000000001</v>
      </c>
      <c r="B512" s="1">
        <v>137.6</v>
      </c>
      <c r="D512" s="1">
        <v>1.8360000000000001</v>
      </c>
      <c r="E512" s="1">
        <v>648</v>
      </c>
    </row>
    <row r="513" spans="1:5" x14ac:dyDescent="0.3">
      <c r="A513" s="1">
        <v>1.84</v>
      </c>
      <c r="B513" s="1">
        <v>141.80000000000001</v>
      </c>
      <c r="D513" s="1">
        <v>1.84</v>
      </c>
      <c r="E513" s="1">
        <v>676.2</v>
      </c>
    </row>
    <row r="514" spans="1:5" x14ac:dyDescent="0.3">
      <c r="A514" s="1">
        <v>1.843</v>
      </c>
      <c r="B514" s="1">
        <v>146.19999999999999</v>
      </c>
      <c r="D514" s="1">
        <v>1.843</v>
      </c>
      <c r="E514" s="1">
        <v>706.5</v>
      </c>
    </row>
    <row r="515" spans="1:5" x14ac:dyDescent="0.3">
      <c r="A515" s="1">
        <v>1.847</v>
      </c>
      <c r="B515" s="1">
        <v>150.9</v>
      </c>
      <c r="D515" s="1">
        <v>1.847</v>
      </c>
      <c r="E515" s="1">
        <v>738.8</v>
      </c>
    </row>
    <row r="516" spans="1:5" x14ac:dyDescent="0.3">
      <c r="A516" s="1">
        <v>1.85</v>
      </c>
      <c r="B516" s="1">
        <v>155.30000000000001</v>
      </c>
      <c r="D516" s="1">
        <v>1.85</v>
      </c>
      <c r="E516" s="1">
        <v>769.5</v>
      </c>
    </row>
    <row r="517" spans="1:5" x14ac:dyDescent="0.3">
      <c r="D517" s="1">
        <v>1.85</v>
      </c>
      <c r="E517" s="1">
        <v>769.5</v>
      </c>
    </row>
  </sheetData>
  <mergeCells count="12">
    <mergeCell ref="H34:I34"/>
    <mergeCell ref="G1:I1"/>
    <mergeCell ref="H6:I6"/>
    <mergeCell ref="H7:I7"/>
    <mergeCell ref="H10:I10"/>
    <mergeCell ref="G13:I13"/>
    <mergeCell ref="H18:I18"/>
    <mergeCell ref="H19:I19"/>
    <mergeCell ref="H22:I22"/>
    <mergeCell ref="G25:I25"/>
    <mergeCell ref="H30:I30"/>
    <mergeCell ref="H31:I3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Fig.3 A LP-setup</vt:lpstr>
      <vt:lpstr>Fig.3 B HP-setup</vt:lpstr>
    </vt:vector>
  </TitlesOfParts>
  <Company>Hereon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Fleming,Lukas</dc:creator>
  <cp:lastModifiedBy>Fleming,Lukas</cp:lastModifiedBy>
  <dcterms:created xsi:type="dcterms:W3CDTF">2025-04-25T10:37:43Z</dcterms:created>
  <dcterms:modified xsi:type="dcterms:W3CDTF">2026-01-15T19:23:51Z</dcterms:modified>
</cp:coreProperties>
</file>